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BERT PHOCCO\Desktop\NORTE RIO ÑUNOA\"/>
    </mc:Choice>
  </mc:AlternateContent>
  <xr:revisionPtr revIDLastSave="0" documentId="8_{003A11AE-C574-4FC6-81AC-884FE707A3D2}" xr6:coauthVersionLast="36" xr6:coauthVersionMax="36" xr10:uidLastSave="{00000000-0000-0000-0000-000000000000}"/>
  <bookViews>
    <workbookView xWindow="0" yWindow="0" windowWidth="23040" windowHeight="8364" xr2:uid="{8E9DC3F9-79FA-413C-9BC4-272D4582EA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F11" i="1"/>
  <c r="H9" i="1"/>
  <c r="H11" i="1" s="1"/>
</calcChain>
</file>

<file path=xl/sharedStrings.xml><?xml version="1.0" encoding="utf-8"?>
<sst xmlns="http://schemas.openxmlformats.org/spreadsheetml/2006/main" count="64" uniqueCount="48">
  <si>
    <t>POA / PC</t>
  </si>
  <si>
    <t>POA 1 PC 1</t>
  </si>
  <si>
    <t>PERIODO</t>
  </si>
  <si>
    <t>OCT-16  / ABR-17</t>
  </si>
  <si>
    <t>CONVENIO N°:</t>
  </si>
  <si>
    <t>012-2025</t>
  </si>
  <si>
    <t>OA:</t>
  </si>
  <si>
    <t>APA MICROCUENCA NORTE RIO NUÑOA</t>
  </si>
  <si>
    <t>FECHA DE ELABORACIÓN:</t>
  </si>
  <si>
    <t>POA 1</t>
  </si>
  <si>
    <t>INDICADORES</t>
  </si>
  <si>
    <t>OBJETIVO ESPECÍFICO</t>
  </si>
  <si>
    <t>UNIDAD DE MEDIDA</t>
  </si>
  <si>
    <t>MEDIO DE VERIFICACIÓN</t>
  </si>
  <si>
    <t>AÑO 0</t>
  </si>
  <si>
    <t>PC1</t>
  </si>
  <si>
    <t>SI/NO</t>
  </si>
  <si>
    <t>PC2</t>
  </si>
  <si>
    <t>EJECUTADO</t>
  </si>
  <si>
    <t>PROGRAMADO</t>
  </si>
  <si>
    <t>PRODUCCIÓN</t>
  </si>
  <si>
    <t>Numero Cabezas (alpacas)</t>
  </si>
  <si>
    <t>numero/cabezas</t>
  </si>
  <si>
    <t>Informe de Verificación de Campo</t>
  </si>
  <si>
    <t xml:space="preserve">Kg/Cabeza </t>
  </si>
  <si>
    <t>kg/cabeza</t>
  </si>
  <si>
    <t>Actas de Registro de la Producción</t>
  </si>
  <si>
    <t>Total / año</t>
  </si>
  <si>
    <t>Kg</t>
  </si>
  <si>
    <t>PRODUCTIVIDAD</t>
  </si>
  <si>
    <t xml:space="preserve">Periodo de engorde/Días </t>
  </si>
  <si>
    <t>Actas de registro de producción</t>
  </si>
  <si>
    <t>Rendimiento esperado en Kg/día</t>
  </si>
  <si>
    <t>Reducir el porcentaje de Mortalidad al año</t>
  </si>
  <si>
    <t>% mortandad</t>
  </si>
  <si>
    <t>INGRESO POR VENTAS</t>
  </si>
  <si>
    <t>Costos de Producción S/ / alpaca</t>
  </si>
  <si>
    <t>kg</t>
  </si>
  <si>
    <t>Animal en Pie (Kg) - Peso Carcasa</t>
  </si>
  <si>
    <t>Precio por Kg/S</t>
  </si>
  <si>
    <t>Ingreso total (S/.)</t>
  </si>
  <si>
    <t>TM</t>
  </si>
  <si>
    <t>JORNALES</t>
  </si>
  <si>
    <t>Jornales</t>
  </si>
  <si>
    <t>N° Jornales</t>
  </si>
  <si>
    <t>IMPACTO AMBIENTAL</t>
  </si>
  <si>
    <t>Abonamiento de los campos de pastoreo con estiércol de las alpacas</t>
  </si>
  <si>
    <t>abonamiento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</si>
</sst>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.&quot;\ #,##0.00;&quot;S/.&quot;\ \-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365838"/>
      <name val="Arial"/>
      <family val="2"/>
    </font>
    <font>
      <sz val="9"/>
      <color rgb="FF000000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8B57"/>
        <bgColor rgb="FF2E8B57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51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1" applyFont="1" applyFill="1" applyBorder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0" borderId="0" xfId="1" applyNumberFormat="1" applyFont="1" applyFill="1" applyBorder="1" applyAlignment="1">
      <alignment horizontal="left" vertical="top" wrapText="1" readingOrder="1"/>
    </xf>
    <xf numFmtId="0" fontId="6" fillId="0" borderId="0" xfId="1" applyNumberFormat="1" applyFont="1" applyFill="1" applyBorder="1" applyAlignment="1">
      <alignment horizontal="left" vertical="top" wrapText="1" readingOrder="1"/>
    </xf>
    <xf numFmtId="0" fontId="6" fillId="0" borderId="0" xfId="1" applyNumberFormat="1" applyFont="1" applyFill="1" applyBorder="1" applyAlignment="1">
      <alignment horizontal="center" vertical="top" wrapText="1" readingOrder="1"/>
    </xf>
    <xf numFmtId="0" fontId="4" fillId="0" borderId="0" xfId="1" applyFont="1" applyFill="1" applyBorder="1" applyAlignment="1">
      <alignment readingOrder="1"/>
    </xf>
    <xf numFmtId="0" fontId="7" fillId="2" borderId="1" xfId="1" applyNumberFormat="1" applyFont="1" applyFill="1" applyBorder="1" applyAlignment="1">
      <alignment horizontal="center" vertical="center" wrapText="1" readingOrder="1"/>
    </xf>
    <xf numFmtId="0" fontId="7" fillId="2" borderId="1" xfId="1" applyNumberFormat="1" applyFont="1" applyFill="1" applyBorder="1" applyAlignment="1">
      <alignment horizontal="center" vertical="center" wrapText="1" readingOrder="1"/>
    </xf>
    <xf numFmtId="0" fontId="8" fillId="0" borderId="1" xfId="1" applyNumberFormat="1" applyFont="1" applyFill="1" applyBorder="1" applyAlignment="1">
      <alignment horizontal="center" vertical="center" wrapText="1" readingOrder="1"/>
    </xf>
    <xf numFmtId="0" fontId="8" fillId="0" borderId="1" xfId="1" applyNumberFormat="1" applyFont="1" applyFill="1" applyBorder="1" applyAlignment="1">
      <alignment horizontal="left" vertical="center" wrapText="1" readingOrder="1"/>
    </xf>
    <xf numFmtId="0" fontId="9" fillId="0" borderId="1" xfId="1" applyNumberFormat="1" applyFont="1" applyFill="1" applyBorder="1" applyAlignment="1">
      <alignment horizontal="left" vertical="center" wrapText="1"/>
    </xf>
    <xf numFmtId="0" fontId="8" fillId="0" borderId="1" xfId="1" applyNumberFormat="1" applyFont="1" applyFill="1" applyBorder="1" applyAlignment="1">
      <alignment horizontal="center" vertical="center" wrapText="1" readingOrder="1"/>
    </xf>
    <xf numFmtId="0" fontId="8" fillId="0" borderId="1" xfId="1" applyNumberFormat="1" applyFont="1" applyFill="1" applyBorder="1" applyAlignment="1">
      <alignment horizontal="left" vertical="center" wrapText="1" readingOrder="1"/>
    </xf>
    <xf numFmtId="4" fontId="8" fillId="3" borderId="4" xfId="0" applyNumberFormat="1" applyFont="1" applyFill="1" applyBorder="1" applyAlignment="1">
      <alignment horizontal="center" vertical="center" wrapText="1" readingOrder="1"/>
    </xf>
    <xf numFmtId="10" fontId="8" fillId="0" borderId="1" xfId="1" applyNumberFormat="1" applyFont="1" applyFill="1" applyBorder="1" applyAlignment="1">
      <alignment horizontal="center" vertical="center" wrapText="1" readingOrder="1"/>
    </xf>
    <xf numFmtId="4" fontId="8" fillId="3" borderId="5" xfId="0" applyNumberFormat="1" applyFont="1" applyFill="1" applyBorder="1" applyAlignment="1">
      <alignment horizontal="center" vertical="center" wrapText="1" readingOrder="1"/>
    </xf>
    <xf numFmtId="3" fontId="8" fillId="0" borderId="1" xfId="1" applyNumberFormat="1" applyFont="1" applyFill="1" applyBorder="1" applyAlignment="1">
      <alignment horizontal="center" vertical="center" wrapText="1" readingOrder="1"/>
    </xf>
    <xf numFmtId="9" fontId="8" fillId="0" borderId="1" xfId="1" applyNumberFormat="1" applyFont="1" applyFill="1" applyBorder="1" applyAlignment="1">
      <alignment horizontal="center" vertical="center" wrapText="1" readingOrder="1"/>
    </xf>
    <xf numFmtId="0" fontId="8" fillId="3" borderId="6" xfId="1" applyNumberFormat="1" applyFont="1" applyFill="1" applyBorder="1" applyAlignment="1">
      <alignment horizontal="center" vertical="center" wrapText="1" readingOrder="1"/>
    </xf>
    <xf numFmtId="0" fontId="8" fillId="3" borderId="1" xfId="1" applyNumberFormat="1" applyFont="1" applyFill="1" applyBorder="1" applyAlignment="1">
      <alignment horizontal="left" vertical="center" wrapText="1" readingOrder="1"/>
    </xf>
    <xf numFmtId="0" fontId="9" fillId="3" borderId="1" xfId="1" applyNumberFormat="1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center" vertical="center" wrapText="1" readingOrder="1"/>
    </xf>
    <xf numFmtId="0" fontId="8" fillId="3" borderId="7" xfId="0" applyFont="1" applyFill="1" applyBorder="1" applyAlignment="1">
      <alignment horizontal="left" vertical="center" wrapText="1" readingOrder="1"/>
    </xf>
    <xf numFmtId="0" fontId="8" fillId="3" borderId="1" xfId="1" applyNumberFormat="1" applyFont="1" applyFill="1" applyBorder="1" applyAlignment="1">
      <alignment horizontal="center" vertical="center" wrapText="1" readingOrder="1"/>
    </xf>
    <xf numFmtId="164" fontId="8" fillId="3" borderId="1" xfId="1" applyNumberFormat="1" applyFont="1" applyFill="1" applyBorder="1" applyAlignment="1">
      <alignment horizontal="center" vertical="center" wrapText="1" readingOrder="1"/>
    </xf>
    <xf numFmtId="10" fontId="8" fillId="3" borderId="1" xfId="1" applyNumberFormat="1" applyFont="1" applyFill="1" applyBorder="1" applyAlignment="1">
      <alignment horizontal="center" vertical="center" wrapText="1" readingOrder="1"/>
    </xf>
    <xf numFmtId="0" fontId="8" fillId="3" borderId="8" xfId="1" applyNumberFormat="1" applyFont="1" applyFill="1" applyBorder="1" applyAlignment="1">
      <alignment horizontal="center" vertical="center" wrapText="1" readingOrder="1"/>
    </xf>
    <xf numFmtId="0" fontId="8" fillId="3" borderId="2" xfId="0" applyFont="1" applyFill="1" applyBorder="1" applyAlignment="1">
      <alignment horizontal="left" vertical="center" wrapText="1" readingOrder="1"/>
    </xf>
    <xf numFmtId="0" fontId="8" fillId="3" borderId="3" xfId="0" applyFont="1" applyFill="1" applyBorder="1" applyAlignment="1">
      <alignment horizontal="left" vertical="center" wrapText="1" readingOrder="1"/>
    </xf>
    <xf numFmtId="164" fontId="8" fillId="4" borderId="1" xfId="1" applyNumberFormat="1" applyFont="1" applyFill="1" applyBorder="1" applyAlignment="1">
      <alignment horizontal="center" vertical="center" wrapText="1" readingOrder="1"/>
    </xf>
    <xf numFmtId="0" fontId="8" fillId="3" borderId="5" xfId="1" applyNumberFormat="1" applyFont="1" applyFill="1" applyBorder="1" applyAlignment="1">
      <alignment horizontal="center" vertical="center" wrapText="1" readingOrder="1"/>
    </xf>
    <xf numFmtId="9" fontId="8" fillId="3" borderId="5" xfId="0" applyNumberFormat="1" applyFont="1" applyFill="1" applyBorder="1" applyAlignment="1">
      <alignment horizontal="center" vertical="center" wrapText="1" readingOrder="1"/>
    </xf>
    <xf numFmtId="9" fontId="8" fillId="3" borderId="1" xfId="1" applyNumberFormat="1" applyFont="1" applyFill="1" applyBorder="1" applyAlignment="1">
      <alignment horizontal="center" vertical="center" wrapText="1" readingOrder="1"/>
    </xf>
    <xf numFmtId="4" fontId="8" fillId="3" borderId="6" xfId="0" applyNumberFormat="1" applyFont="1" applyFill="1" applyBorder="1" applyAlignment="1">
      <alignment horizontal="center" vertical="center" wrapText="1" readingOrder="1"/>
    </xf>
    <xf numFmtId="0" fontId="8" fillId="3" borderId="6" xfId="0" applyNumberFormat="1" applyFont="1" applyFill="1" applyBorder="1" applyAlignment="1">
      <alignment horizontal="center" vertical="center" wrapText="1" readingOrder="1"/>
    </xf>
    <xf numFmtId="0" fontId="8" fillId="3" borderId="1" xfId="1" applyNumberFormat="1" applyFont="1" applyFill="1" applyBorder="1" applyAlignment="1">
      <alignment horizontal="left" vertical="center" wrapText="1" readingOrder="1"/>
    </xf>
    <xf numFmtId="3" fontId="8" fillId="3" borderId="1" xfId="1" applyNumberFormat="1" applyFont="1" applyFill="1" applyBorder="1" applyAlignment="1">
      <alignment horizontal="center" vertical="center" wrapText="1" readingOrder="1"/>
    </xf>
    <xf numFmtId="0" fontId="8" fillId="3" borderId="1" xfId="1" applyNumberFormat="1" applyFont="1" applyFill="1" applyBorder="1" applyAlignment="1">
      <alignment vertical="center" wrapText="1" readingOrder="1"/>
    </xf>
    <xf numFmtId="0" fontId="9" fillId="3" borderId="1" xfId="1" applyNumberFormat="1" applyFont="1" applyFill="1" applyBorder="1" applyAlignment="1">
      <alignment vertical="center" wrapText="1"/>
    </xf>
    <xf numFmtId="0" fontId="4" fillId="0" borderId="0" xfId="1" applyFont="1" applyFill="1" applyBorder="1"/>
    <xf numFmtId="0" fontId="8" fillId="4" borderId="1" xfId="1" applyNumberFormat="1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 3" xfId="1" xr:uid="{387E8E8C-435A-411D-AB93-83CAD87B36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0D384-F2FA-4961-95EB-34D0F2F72451}">
  <dimension ref="A1:L22"/>
  <sheetViews>
    <sheetView tabSelected="1" topLeftCell="A7" workbookViewId="0">
      <selection activeCell="J13" sqref="J13"/>
    </sheetView>
  </sheetViews>
  <sheetFormatPr baseColWidth="10" defaultRowHeight="14.4" x14ac:dyDescent="0.3"/>
  <sheetData>
    <row r="1" spans="1:12" ht="1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</row>
    <row r="2" spans="1:12" x14ac:dyDescent="0.3">
      <c r="A2" s="3" t="s">
        <v>0</v>
      </c>
      <c r="B2" s="4" t="s">
        <v>1</v>
      </c>
      <c r="C2" s="5" t="s">
        <v>2</v>
      </c>
      <c r="D2" s="6" t="s">
        <v>3</v>
      </c>
      <c r="E2" s="7"/>
      <c r="F2" s="3"/>
      <c r="G2" s="3" t="s">
        <v>4</v>
      </c>
      <c r="H2" s="3"/>
      <c r="I2" s="6" t="s">
        <v>5</v>
      </c>
      <c r="J2" s="7"/>
      <c r="K2" s="3"/>
      <c r="L2" s="3"/>
    </row>
    <row r="4" spans="1:12" x14ac:dyDescent="0.3">
      <c r="A4" s="3" t="s">
        <v>6</v>
      </c>
      <c r="B4" s="8" t="s">
        <v>7</v>
      </c>
      <c r="C4" s="8"/>
      <c r="D4" s="8"/>
      <c r="G4" s="3" t="s">
        <v>8</v>
      </c>
      <c r="I4" s="9"/>
      <c r="J4" s="10">
        <v>45933</v>
      </c>
    </row>
    <row r="5" spans="1:12" x14ac:dyDescent="0.3">
      <c r="G5" s="5"/>
      <c r="H5" s="5"/>
      <c r="I5" s="5"/>
      <c r="J5" s="5"/>
      <c r="K5" s="11"/>
      <c r="L5" s="11"/>
    </row>
    <row r="6" spans="1:12" x14ac:dyDescent="0.3">
      <c r="A6" s="12"/>
      <c r="B6" s="12"/>
      <c r="C6" s="13"/>
      <c r="D6" s="13"/>
      <c r="E6" s="14"/>
      <c r="F6" s="15"/>
      <c r="G6" s="16" t="s">
        <v>9</v>
      </c>
      <c r="H6" s="16"/>
      <c r="I6" s="16"/>
      <c r="J6" s="16"/>
      <c r="K6" s="16"/>
      <c r="L6" s="16"/>
    </row>
    <row r="7" spans="1:12" x14ac:dyDescent="0.3">
      <c r="A7" s="16" t="s">
        <v>10</v>
      </c>
      <c r="B7" s="16" t="s">
        <v>11</v>
      </c>
      <c r="C7" s="16"/>
      <c r="D7" s="16" t="s">
        <v>12</v>
      </c>
      <c r="E7" s="16" t="s">
        <v>13</v>
      </c>
      <c r="F7" s="16" t="s">
        <v>14</v>
      </c>
      <c r="G7" s="16" t="s">
        <v>15</v>
      </c>
      <c r="H7" s="16"/>
      <c r="I7" s="16" t="s">
        <v>16</v>
      </c>
      <c r="J7" s="16" t="s">
        <v>17</v>
      </c>
      <c r="K7" s="16"/>
      <c r="L7" s="16" t="s">
        <v>16</v>
      </c>
    </row>
    <row r="8" spans="1:12" ht="15" thickBot="1" x14ac:dyDescent="0.35">
      <c r="A8" s="16"/>
      <c r="B8" s="16"/>
      <c r="C8" s="16"/>
      <c r="D8" s="16"/>
      <c r="E8" s="16"/>
      <c r="F8" s="16"/>
      <c r="G8" s="17" t="s">
        <v>18</v>
      </c>
      <c r="H8" s="17" t="s">
        <v>19</v>
      </c>
      <c r="I8" s="16"/>
      <c r="J8" s="17" t="s">
        <v>18</v>
      </c>
      <c r="K8" s="17" t="s">
        <v>19</v>
      </c>
      <c r="L8" s="16"/>
    </row>
    <row r="9" spans="1:12" ht="30.6" x14ac:dyDescent="0.3">
      <c r="A9" s="18" t="s">
        <v>20</v>
      </c>
      <c r="B9" s="19" t="s">
        <v>21</v>
      </c>
      <c r="C9" s="20"/>
      <c r="D9" s="21" t="s">
        <v>22</v>
      </c>
      <c r="E9" s="22" t="s">
        <v>23</v>
      </c>
      <c r="F9" s="23">
        <v>778</v>
      </c>
      <c r="G9" s="21">
        <v>236</v>
      </c>
      <c r="H9" s="23">
        <f>(778)*0.4</f>
        <v>311.20000000000005</v>
      </c>
      <c r="I9" s="21"/>
      <c r="J9" s="21"/>
      <c r="K9" s="21"/>
      <c r="L9" s="24"/>
    </row>
    <row r="10" spans="1:12" ht="30.6" x14ac:dyDescent="0.3">
      <c r="A10" s="18"/>
      <c r="B10" s="19" t="s">
        <v>24</v>
      </c>
      <c r="C10" s="20"/>
      <c r="D10" s="21" t="s">
        <v>25</v>
      </c>
      <c r="E10" s="22" t="s">
        <v>26</v>
      </c>
      <c r="F10" s="25">
        <v>15</v>
      </c>
      <c r="G10" s="21">
        <v>14</v>
      </c>
      <c r="H10" s="25">
        <v>15</v>
      </c>
      <c r="I10" s="21"/>
      <c r="J10" s="21"/>
      <c r="K10" s="21"/>
      <c r="L10" s="24"/>
    </row>
    <row r="11" spans="1:12" ht="30.6" x14ac:dyDescent="0.3">
      <c r="A11" s="18"/>
      <c r="B11" s="19" t="s">
        <v>27</v>
      </c>
      <c r="C11" s="20"/>
      <c r="D11" s="21" t="s">
        <v>28</v>
      </c>
      <c r="E11" s="22" t="s">
        <v>26</v>
      </c>
      <c r="F11" s="25">
        <f>F9*F10</f>
        <v>11670</v>
      </c>
      <c r="G11" s="26">
        <v>6637.3</v>
      </c>
      <c r="H11" s="25">
        <f>H9*H10</f>
        <v>4668.0000000000009</v>
      </c>
      <c r="I11" s="26"/>
      <c r="J11" s="26"/>
      <c r="K11" s="26"/>
      <c r="L11" s="24"/>
    </row>
    <row r="12" spans="1:12" ht="31.2" thickBot="1" x14ac:dyDescent="0.35">
      <c r="A12" s="18"/>
      <c r="B12" s="19" t="s">
        <v>24</v>
      </c>
      <c r="C12" s="20"/>
      <c r="D12" s="21" t="s">
        <v>25</v>
      </c>
      <c r="E12" s="22" t="s">
        <v>26</v>
      </c>
      <c r="F12" s="25">
        <v>24.6</v>
      </c>
      <c r="G12" s="21">
        <v>28.17</v>
      </c>
      <c r="H12" s="25">
        <v>25.8</v>
      </c>
      <c r="I12" s="26"/>
      <c r="J12" s="26"/>
      <c r="K12" s="27"/>
      <c r="L12" s="24"/>
    </row>
    <row r="13" spans="1:12" ht="31.2" thickBot="1" x14ac:dyDescent="0.35">
      <c r="A13" s="28" t="s">
        <v>29</v>
      </c>
      <c r="B13" s="29" t="s">
        <v>30</v>
      </c>
      <c r="C13" s="30"/>
      <c r="D13" s="31" t="s">
        <v>30</v>
      </c>
      <c r="E13" s="32" t="s">
        <v>31</v>
      </c>
      <c r="F13" s="25">
        <v>120</v>
      </c>
      <c r="G13" s="33">
        <f>F13</f>
        <v>120</v>
      </c>
      <c r="H13" s="25">
        <v>120</v>
      </c>
      <c r="I13" s="34"/>
      <c r="J13" s="34"/>
      <c r="K13" s="34"/>
      <c r="L13" s="35"/>
    </row>
    <row r="14" spans="1:12" ht="31.2" thickBot="1" x14ac:dyDescent="0.35">
      <c r="A14" s="36"/>
      <c r="B14" s="37" t="s">
        <v>32</v>
      </c>
      <c r="C14" s="38"/>
      <c r="D14" s="31" t="s">
        <v>32</v>
      </c>
      <c r="E14" s="32" t="s">
        <v>31</v>
      </c>
      <c r="F14" s="25">
        <v>0.08</v>
      </c>
      <c r="G14" s="39"/>
      <c r="H14" s="25">
        <v>0.09</v>
      </c>
      <c r="I14" s="34"/>
      <c r="J14" s="34"/>
      <c r="K14" s="34"/>
      <c r="L14" s="35"/>
    </row>
    <row r="15" spans="1:12" ht="31.2" thickBot="1" x14ac:dyDescent="0.35">
      <c r="A15" s="40"/>
      <c r="B15" s="37" t="s">
        <v>33</v>
      </c>
      <c r="C15" s="38"/>
      <c r="D15" s="31" t="s">
        <v>34</v>
      </c>
      <c r="E15" s="32" t="s">
        <v>31</v>
      </c>
      <c r="F15" s="41">
        <v>0.04</v>
      </c>
      <c r="G15" s="42">
        <v>0.04</v>
      </c>
      <c r="H15" s="41">
        <v>0.04</v>
      </c>
      <c r="I15" s="34"/>
      <c r="J15" s="34"/>
      <c r="K15" s="34"/>
      <c r="L15" s="35"/>
    </row>
    <row r="16" spans="1:12" ht="31.2" thickBot="1" x14ac:dyDescent="0.35">
      <c r="A16" s="28" t="s">
        <v>35</v>
      </c>
      <c r="B16" s="29" t="s">
        <v>36</v>
      </c>
      <c r="C16" s="30"/>
      <c r="D16" s="33" t="s">
        <v>37</v>
      </c>
      <c r="E16" s="32" t="s">
        <v>31</v>
      </c>
      <c r="F16" s="43">
        <v>318</v>
      </c>
      <c r="G16" s="39">
        <v>271</v>
      </c>
      <c r="H16" s="43">
        <v>271</v>
      </c>
      <c r="I16" s="34"/>
      <c r="J16" s="34"/>
      <c r="K16" s="34"/>
      <c r="L16" s="35"/>
    </row>
    <row r="17" spans="1:12" ht="30.6" x14ac:dyDescent="0.3">
      <c r="A17" s="36"/>
      <c r="B17" s="29" t="s">
        <v>38</v>
      </c>
      <c r="C17" s="30"/>
      <c r="D17" s="33" t="s">
        <v>39</v>
      </c>
      <c r="E17" s="32" t="s">
        <v>31</v>
      </c>
      <c r="F17" s="44">
        <v>19.117999999999999</v>
      </c>
      <c r="G17" s="34">
        <v>9</v>
      </c>
      <c r="H17" s="33">
        <v>8.0280000000000005</v>
      </c>
      <c r="I17" s="34"/>
      <c r="J17" s="34"/>
      <c r="K17" s="34"/>
      <c r="L17" s="35"/>
    </row>
    <row r="18" spans="1:12" ht="30.6" x14ac:dyDescent="0.3">
      <c r="A18" s="40"/>
      <c r="B18" s="29" t="s">
        <v>40</v>
      </c>
      <c r="C18" s="30"/>
      <c r="D18" s="33" t="s">
        <v>41</v>
      </c>
      <c r="E18" s="45" t="s">
        <v>23</v>
      </c>
      <c r="F18" s="44">
        <v>267.94600000000003</v>
      </c>
      <c r="G18" s="46">
        <v>92924</v>
      </c>
      <c r="H18" s="33">
        <v>112.405</v>
      </c>
      <c r="I18" s="33"/>
      <c r="J18" s="33"/>
      <c r="K18" s="33"/>
      <c r="L18" s="35"/>
    </row>
    <row r="19" spans="1:12" ht="30.6" x14ac:dyDescent="0.3">
      <c r="A19" s="33" t="s">
        <v>42</v>
      </c>
      <c r="B19" s="29" t="s">
        <v>43</v>
      </c>
      <c r="C19" s="30"/>
      <c r="D19" s="33" t="s">
        <v>44</v>
      </c>
      <c r="E19" s="45" t="s">
        <v>23</v>
      </c>
      <c r="F19" s="33">
        <v>374</v>
      </c>
      <c r="G19" s="50"/>
      <c r="H19" s="33">
        <v>185</v>
      </c>
      <c r="I19" s="33"/>
      <c r="J19" s="33"/>
      <c r="K19" s="33"/>
      <c r="L19" s="35"/>
    </row>
    <row r="20" spans="1:12" ht="30.6" x14ac:dyDescent="0.3">
      <c r="A20" s="33" t="s">
        <v>45</v>
      </c>
      <c r="B20" s="47" t="s">
        <v>46</v>
      </c>
      <c r="C20" s="48"/>
      <c r="D20" s="33" t="s">
        <v>47</v>
      </c>
      <c r="E20" s="45" t="s">
        <v>23</v>
      </c>
      <c r="F20" s="42">
        <v>0.35</v>
      </c>
      <c r="G20" s="42">
        <v>0</v>
      </c>
      <c r="H20" s="42">
        <v>0.5</v>
      </c>
      <c r="I20" s="46"/>
      <c r="J20" s="46"/>
      <c r="K20" s="42"/>
      <c r="L20" s="35"/>
    </row>
    <row r="21" spans="1:12" x14ac:dyDescent="0.3">
      <c r="A21" s="2"/>
      <c r="B21" s="2"/>
      <c r="C21" s="2"/>
      <c r="D21" s="49"/>
      <c r="E21" s="2"/>
      <c r="F21" s="2"/>
      <c r="G21" s="2"/>
      <c r="H21" s="2"/>
      <c r="I21" s="2"/>
      <c r="J21" s="2"/>
      <c r="K21" s="2"/>
      <c r="L21" s="2"/>
    </row>
    <row r="22" spans="1:12" x14ac:dyDescent="0.3">
      <c r="A22" s="2"/>
      <c r="B22" s="2"/>
      <c r="C22" s="2"/>
      <c r="D22" s="49"/>
      <c r="E22" s="2"/>
      <c r="F22" s="2"/>
      <c r="G22" s="2"/>
      <c r="H22" s="2"/>
      <c r="I22" s="2"/>
      <c r="J22" s="2"/>
      <c r="K22" s="2"/>
      <c r="L22" s="2"/>
    </row>
  </sheetData>
  <mergeCells count="29">
    <mergeCell ref="B19:C19"/>
    <mergeCell ref="B20:C20"/>
    <mergeCell ref="D21:D22"/>
    <mergeCell ref="A13:A15"/>
    <mergeCell ref="B13:C13"/>
    <mergeCell ref="B14:C14"/>
    <mergeCell ref="B15:C15"/>
    <mergeCell ref="A16:A18"/>
    <mergeCell ref="B16:C16"/>
    <mergeCell ref="B17:C17"/>
    <mergeCell ref="B18:C18"/>
    <mergeCell ref="I7:I8"/>
    <mergeCell ref="J7:K7"/>
    <mergeCell ref="L7:L8"/>
    <mergeCell ref="A9:A12"/>
    <mergeCell ref="B9:C9"/>
    <mergeCell ref="B10:C10"/>
    <mergeCell ref="B11:C11"/>
    <mergeCell ref="B12:C12"/>
    <mergeCell ref="D2:E2"/>
    <mergeCell ref="I2:J2"/>
    <mergeCell ref="B4:D4"/>
    <mergeCell ref="G6:L6"/>
    <mergeCell ref="A7:A8"/>
    <mergeCell ref="B7:C8"/>
    <mergeCell ref="D7:D8"/>
    <mergeCell ref="E7:E8"/>
    <mergeCell ref="F7:F8"/>
    <mergeCell ref="G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PHOCCO</dc:creator>
  <cp:lastModifiedBy>HERBERT PHOCCO</cp:lastModifiedBy>
  <dcterms:created xsi:type="dcterms:W3CDTF">2026-05-27T14:07:44Z</dcterms:created>
  <dcterms:modified xsi:type="dcterms:W3CDTF">2026-05-27T14:09:13Z</dcterms:modified>
</cp:coreProperties>
</file>