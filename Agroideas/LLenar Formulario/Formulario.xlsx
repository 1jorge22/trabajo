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4"/>
    <sheet state="visible" name="RESUMEN" sheetId="2" r:id="rId5"/>
    <sheet state="visible" name="CUMPL. IND." sheetId="3" r:id="rId6"/>
    <sheet state="visible" name="EJEC. MET." sheetId="4" r:id="rId7"/>
    <sheet state="visible" name="EJEC. FINAN." sheetId="5" r:id="rId8"/>
  </sheets>
  <definedNames/>
  <calcPr/>
  <extLst>
    <ext uri="GoogleSheetsCustomDataVersion2">
      <go:sheetsCustomData xmlns:go="http://customooxmlschemas.google.com/" r:id="rId9" roundtripDataChecksum="gCKN4gSXjG03UjmRtxeSx6968ChAkyp1ZLdyQbuXD0s="/>
    </ext>
  </extLst>
</workbook>
</file>

<file path=xl/sharedStrings.xml><?xml version="1.0" encoding="utf-8"?>
<sst xmlns="http://schemas.openxmlformats.org/spreadsheetml/2006/main" count="310" uniqueCount="166">
  <si>
    <t>2. Cuadro de Cumplimiento de Indicadores - R2</t>
  </si>
  <si>
    <t>1. Resumen de Ejecución del PC - R1</t>
  </si>
  <si>
    <t>REPORTE TÉCNICO FINANCIERO - RTF - PNT</t>
  </si>
  <si>
    <t>3. Cuadro de Ejecución de Metas Físicas - T1</t>
  </si>
  <si>
    <t>POA / PC</t>
  </si>
  <si>
    <t>POA 1 PC 2</t>
  </si>
  <si>
    <t>PERIODO</t>
  </si>
  <si>
    <t>OCT - 02 / ABRIL- 02</t>
  </si>
  <si>
    <t>N° DE CONVENIO :</t>
  </si>
  <si>
    <t>012-2025</t>
  </si>
  <si>
    <t>OA:</t>
  </si>
  <si>
    <t>APA MICROCUENCA NORTE RIO NUÑOA</t>
  </si>
  <si>
    <t>FECHA DE ELABORACIÓN:</t>
  </si>
  <si>
    <t>CONVENIO N°:</t>
  </si>
  <si>
    <t>ACTIVIDADES PROGRAMADAS Y REALIZADAS</t>
  </si>
  <si>
    <t>Organización de Productores Agrarios - OA:</t>
  </si>
  <si>
    <t>- Adquisición de 432 Unidades de juego de Esquineros para mejorar la infraestructura de los cercos
- Adquisición de 250 Kg de Alambre galvanizado de 14"
- Adquisicón de 27 kit veterinario
- Adquisición de 1350 Kg de Semilla de Alfalfa
- Adquisición de 108 Kg de Semilla Dactilys Glomerata</t>
  </si>
  <si>
    <t>ASOCIACION DE PRODUCTORES AGROPECUARIOS MICROCUENCA NORTE RIO NUÑOA DISTRITO DE NUÑOA - MELGAR- PUNO</t>
  </si>
  <si>
    <t>Titulo del Plan de Negocios:</t>
  </si>
  <si>
    <t>Mejoramiento del Proceso Productivo de la Alpaca</t>
  </si>
  <si>
    <t>ACTIVIDADES PROGRAMADAS Y NO REALIZADAS</t>
  </si>
  <si>
    <t xml:space="preserve">- No se logró la adquisición de 13.5 bolsas de yeso
- No se logró la adquisición de 1080 sacos de guano de isla 
</t>
  </si>
  <si>
    <r>
      <rPr>
        <rFont val="Calibri"/>
        <b/>
        <color theme="1"/>
        <sz val="11.0"/>
      </rPr>
      <t>INFORMES REMITIDOS:</t>
    </r>
    <r>
      <rPr>
        <rFont val="Calibri"/>
        <color theme="1"/>
        <sz val="11.0"/>
      </rPr>
      <t xml:space="preserve">
1. Resumen de Ejecución del PC - R1 
2. Cuadro de Cumplimiento de Indicadores - R2(Check List)
3. Cuadro de Ejecución de Metas Físicas - T1
4. Relación de Gastos Realizados - F1
5. Actas de Entrega de Bienes y/o recepción de obra o afines(*)</t>
    </r>
  </si>
  <si>
    <t>LOGROS</t>
  </si>
  <si>
    <t>T1A. REPORTE DE BIENES</t>
  </si>
  <si>
    <t>EN BIENES: Se concretó la adquisición de 432 rollos de malla ganadera, 4,320 postes metálicos para la infraestructura de cercos, y 27 tecles de 2T.
EN PRODUCCIÓN Y PRODUCTIVIDAD: Se completó exitosamente el proceso de engorde con 258 cabezas de alpaca. La carne se comercializó a un valor de S/ 14.00 por kilogramo, alcanzando un volumen total de venta de 7,237.00 Kg de carcasa (con un peso promedio óptimo de 28.05 Kg por cabeza). Esto generó un ingreso bruto total de S/ 101,318.00, mejorando sustancialmente las proyecciones de rentabilidad del plan de negocios.</t>
  </si>
  <si>
    <t>POA 1</t>
  </si>
  <si>
    <t>Representante Legal de la OA</t>
  </si>
  <si>
    <t>PRODUCTO</t>
  </si>
  <si>
    <t>INDICADORES</t>
  </si>
  <si>
    <t>Coordinador de la UR</t>
  </si>
  <si>
    <t>OBJETIVO ESPECÍFICO</t>
  </si>
  <si>
    <t>Unidad de Medida</t>
  </si>
  <si>
    <t>I PASO CRÍTICO</t>
  </si>
  <si>
    <t>II PASO CRÍTICO</t>
  </si>
  <si>
    <t>UNIDAD DE MEDIDA</t>
  </si>
  <si>
    <t>MEDIO DE VERIFICACIÓN</t>
  </si>
  <si>
    <t>TOTAL PROGRAMADO PNT</t>
  </si>
  <si>
    <t>DIFICULTADES</t>
  </si>
  <si>
    <t>TOTAL EJECUTADO</t>
  </si>
  <si>
    <t>AÑO 0</t>
  </si>
  <si>
    <t>%EJEC.</t>
  </si>
  <si>
    <t>EN BIENES: Se concretó la adquisición de 432 rollos de malla ganadera, 4,320 postes metálicos para la infraestructura de cercos, y 27 tecles de 2T.
EN PRODUCCIÓN Y PRODUCTIVIDAD: Se completó exitosamente el proceso de engorde con 261 cabezas de alpaca. La carne se comercializó a un valor de S/ 14.00 por kilogramo, alcanzando un volumen total de venta de 7,297.00 Kg de carcasa (con un peso promedio óptimo de 27.95 Kg por cabeza). Esto generó un ingreso bruto total de S/ 102,158.00, evidenciando una alta eficiencia productiva y garantizando utilidades netas positivas para los productores.</t>
  </si>
  <si>
    <t>PC1</t>
  </si>
  <si>
    <t>SI/NO</t>
  </si>
  <si>
    <t>PC2</t>
  </si>
  <si>
    <t>PROG.</t>
  </si>
  <si>
    <t>Firma</t>
  </si>
  <si>
    <t>EJEC.</t>
  </si>
  <si>
    <t>% AVANCE DE PC</t>
  </si>
  <si>
    <t>EJECUTADO</t>
  </si>
  <si>
    <t>(*) Se presenta en caso de haber adquisiciones de bienes y/o construcción de obras y afines.</t>
  </si>
  <si>
    <t>PROGRAMADO</t>
  </si>
  <si>
    <t>PRODUCCIÓN</t>
  </si>
  <si>
    <t>Malla ganadera 9 hilos x 100m.</t>
  </si>
  <si>
    <t>Numero Cabezas (alpacas)</t>
  </si>
  <si>
    <t>Rollo</t>
  </si>
  <si>
    <t>numero/cabezas</t>
  </si>
  <si>
    <t>Informe de Verificación de Campo</t>
  </si>
  <si>
    <t>Postes metálicos 1.98m x 1.15"</t>
  </si>
  <si>
    <t>Unidad</t>
  </si>
  <si>
    <t>SI</t>
  </si>
  <si>
    <t xml:space="preserve">Kg/Cabeza </t>
  </si>
  <si>
    <t>Tecla 2 T (tensor)</t>
  </si>
  <si>
    <t>kg/cabeza</t>
  </si>
  <si>
    <t>Actas de Registro de la Producción</t>
  </si>
  <si>
    <t>Total / año</t>
  </si>
  <si>
    <t>Kg</t>
  </si>
  <si>
    <t>Juego de Esquineros</t>
  </si>
  <si>
    <t>Alambre Galvanizado de 14"</t>
  </si>
  <si>
    <t>PRODUCTIVIDAD</t>
  </si>
  <si>
    <t>Puerta</t>
  </si>
  <si>
    <t xml:space="preserve">Periodo de engorde/Días </t>
  </si>
  <si>
    <t>Actas de registro de producción</t>
  </si>
  <si>
    <t>Semilla alfalfa</t>
  </si>
  <si>
    <t>Rendimiento esperado en Kg/día</t>
  </si>
  <si>
    <t>0.083</t>
  </si>
  <si>
    <t>Reducir el porcentaje de Mortalidad al año</t>
  </si>
  <si>
    <t>% mortandad</t>
  </si>
  <si>
    <t>Dactilis glomerata</t>
  </si>
  <si>
    <t>INGRESO POR VENTAS</t>
  </si>
  <si>
    <t>Costos de Producción S/ / alpaca</t>
  </si>
  <si>
    <t>kg</t>
  </si>
  <si>
    <t>Yeso bolsa 30 Kg</t>
  </si>
  <si>
    <t>Animal en Pie (Kg) - Peso Carcasa</t>
  </si>
  <si>
    <t>Precio por Kg/S</t>
  </si>
  <si>
    <t>Kit veterinario</t>
  </si>
  <si>
    <t>Kit</t>
  </si>
  <si>
    <t>Ingreso total (S/.)</t>
  </si>
  <si>
    <t>TM</t>
  </si>
  <si>
    <t>Guano de isla</t>
  </si>
  <si>
    <t>Saco</t>
  </si>
  <si>
    <t>JORNALES</t>
  </si>
  <si>
    <t>Jornales</t>
  </si>
  <si>
    <t>N° Jornales</t>
  </si>
  <si>
    <t>IMPACTO AMBIENTAL</t>
  </si>
  <si>
    <t>Abonamiento de los campos de pastoreo con estiércol de las alpacas</t>
  </si>
  <si>
    <t>T1B. REPORTE DE SERVICIOS</t>
  </si>
  <si>
    <t>abonamiento</t>
  </si>
  <si>
    <t>Pago a Coordinador del PNT</t>
  </si>
  <si>
    <t>Informe</t>
  </si>
  <si>
    <t>Pago al Formulador de PNT</t>
  </si>
  <si>
    <t>4. Relación de Gastos Realizados - F1</t>
  </si>
  <si>
    <t>Plan de Negocios</t>
  </si>
  <si>
    <t>MONTO DESEMBOLSADO</t>
  </si>
  <si>
    <t>DATOS DEL COMPROBANTE DE PAGO</t>
  </si>
  <si>
    <t>MONTO APROBADO</t>
  </si>
  <si>
    <t>ITEM</t>
  </si>
  <si>
    <t>Descripción del Bn o Ss</t>
  </si>
  <si>
    <t>Cant.</t>
  </si>
  <si>
    <t>Costo Unitario</t>
  </si>
  <si>
    <t>Monto Facturado S/.</t>
  </si>
  <si>
    <t>Fecha de Facturación</t>
  </si>
  <si>
    <t>N° de Documento</t>
  </si>
  <si>
    <t>Tipo de documento</t>
  </si>
  <si>
    <t>Concepto del Gasto</t>
  </si>
  <si>
    <t>OA S/.</t>
  </si>
  <si>
    <t>AGROIDEAS S/.</t>
  </si>
  <si>
    <t>TOTAL</t>
  </si>
  <si>
    <t>%Ejecución
Financiera</t>
  </si>
  <si>
    <t>Monto Diferencial S/.</t>
  </si>
  <si>
    <t>Nombre del Proveedor</t>
  </si>
  <si>
    <t>RUC del Proveedor</t>
  </si>
  <si>
    <t>Malla ganadera de 9 hilos x 100m.l.</t>
  </si>
  <si>
    <t>29/06/2025</t>
  </si>
  <si>
    <t>E001-1221</t>
  </si>
  <si>
    <t>Factura</t>
  </si>
  <si>
    <t>Compra</t>
  </si>
  <si>
    <t>AGROSUR PERU</t>
  </si>
  <si>
    <t>10/09/2025</t>
  </si>
  <si>
    <t>FA01-00000052</t>
  </si>
  <si>
    <t>Postes metálicos de 1.98 m x 1.15", con ancla tipo flecha de acero, acabado y pintado</t>
  </si>
  <si>
    <t>30/06/2025</t>
  </si>
  <si>
    <t>E001-113</t>
  </si>
  <si>
    <t>INVERSIONES VERONA M &amp; E E.I.R.L.</t>
  </si>
  <si>
    <t>03/09/2025</t>
  </si>
  <si>
    <t>E001-123</t>
  </si>
  <si>
    <t>Tecle 2T</t>
  </si>
  <si>
    <t>E001-114</t>
  </si>
  <si>
    <t>E001-124</t>
  </si>
  <si>
    <t>FA01-00000158</t>
  </si>
  <si>
    <t>FA01-00000480</t>
  </si>
  <si>
    <t>Kg.</t>
  </si>
  <si>
    <t>FA01-00000159</t>
  </si>
  <si>
    <t>FA01-00000479</t>
  </si>
  <si>
    <t>E001-150</t>
  </si>
  <si>
    <t>Bolsa</t>
  </si>
  <si>
    <t>F001-00020164</t>
  </si>
  <si>
    <t>F001-00022381</t>
  </si>
  <si>
    <t>Sacos</t>
  </si>
  <si>
    <t>Coordinador del Plan de Negocios</t>
  </si>
  <si>
    <t>Mes</t>
  </si>
  <si>
    <t>E00186</t>
  </si>
  <si>
    <t>Recibo por Honorarios</t>
  </si>
  <si>
    <t>Servicio</t>
  </si>
  <si>
    <t>E00187</t>
  </si>
  <si>
    <t>Formulación del Plan de Negocio</t>
  </si>
  <si>
    <t>Documento</t>
  </si>
  <si>
    <t>E001-147</t>
  </si>
  <si>
    <t>GOMEZ PAREDES ZARELA</t>
  </si>
  <si>
    <t>E001-146</t>
  </si>
  <si>
    <t>TOTAL S/.</t>
  </si>
  <si>
    <t>*** LOS MONTOS EXCEDENTES A LOS APROBADOS SERÁN ASUMIDOS POR LA OA</t>
  </si>
  <si>
    <t>La suma adicional de S/.15,660.00 para adquirir 432 juego de esquineros fue asumido por la OA</t>
  </si>
  <si>
    <t>La suma adicional de S/. 6,750.00 para adquirir 1350 Kg de semilla de alfalfa W-350 fue asumido por la OA</t>
  </si>
  <si>
    <t>La suma adicional de S/. 108.00 para adquirir 108 Kg de semilla de dactilys glomerata fue asumido por la OA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</si>
</sst>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\-dd\-yyyy"/>
    <numFmt numFmtId="165" formatCode="&quot;S/.&quot;\ #,##0.00;&quot;S/.&quot;\ \-#,##0.00"/>
    <numFmt numFmtId="166" formatCode="&quot;S/.&quot;\ #,##0.00"/>
    <numFmt numFmtId="167" formatCode="d/m/yyyy"/>
    <numFmt numFmtId="168" formatCode="dd/mm/yyyy"/>
    <numFmt numFmtId="169" formatCode="mm/dd/yyyy"/>
  </numFmts>
  <fonts count="21">
    <font>
      <sz val="11.0"/>
      <color theme="1"/>
      <name val="Calibri"/>
      <scheme val="minor"/>
    </font>
    <font>
      <b/>
      <sz val="14.0"/>
      <color theme="1"/>
      <name val="Calibri"/>
    </font>
    <font>
      <b/>
      <sz val="16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6.0"/>
      <color theme="1"/>
      <name val="Calibri"/>
    </font>
    <font/>
    <font>
      <b/>
      <sz val="9.0"/>
      <color rgb="FF365838"/>
      <name val="Arial"/>
    </font>
    <font>
      <b/>
      <sz val="10.0"/>
      <color theme="1"/>
      <name val="Calibri"/>
    </font>
    <font>
      <sz val="9.0"/>
      <color rgb="FF000000"/>
      <name val="Arial"/>
    </font>
    <font>
      <sz val="10.0"/>
      <color theme="1"/>
      <name val="Calibri"/>
    </font>
    <font>
      <b/>
      <sz val="8.0"/>
      <color rgb="FFFFFFFF"/>
      <name val="Arial"/>
    </font>
    <font>
      <b/>
      <sz val="8.0"/>
      <color theme="1"/>
      <name val="Arial"/>
    </font>
    <font>
      <b/>
      <sz val="9.0"/>
      <color theme="1"/>
      <name val="Calibri"/>
    </font>
    <font>
      <sz val="8.0"/>
      <color theme="1"/>
      <name val="Arial"/>
    </font>
    <font>
      <i/>
      <sz val="10.0"/>
      <color theme="1"/>
      <name val="Calibri"/>
    </font>
    <font>
      <sz val="8.0"/>
      <color rgb="FF000000"/>
      <name val="Arial"/>
    </font>
    <font>
      <sz val="8.0"/>
      <color theme="1"/>
      <name val="Calibri"/>
    </font>
    <font>
      <sz val="9.0"/>
      <color theme="1"/>
      <name val="Calibri"/>
    </font>
    <font>
      <b/>
      <sz val="8.0"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E8B57"/>
        <bgColor rgb="FF2E8B57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1" fillId="0" fontId="4" numFmtId="0" xfId="0" applyAlignment="1" applyBorder="1" applyFont="1">
      <alignment horizontal="center" readingOrder="0" vertical="center"/>
    </xf>
    <xf borderId="0" fillId="0" fontId="5" numFmtId="0" xfId="0" applyFont="1"/>
    <xf borderId="0" fillId="0" fontId="4" numFmtId="0" xfId="0" applyAlignment="1" applyFont="1">
      <alignment horizontal="center" vertical="center"/>
    </xf>
    <xf borderId="2" fillId="0" fontId="4" numFmtId="0" xfId="0" applyAlignment="1" applyBorder="1" applyFont="1">
      <alignment horizontal="center" readingOrder="0" vertical="center"/>
    </xf>
    <xf borderId="3" fillId="0" fontId="6" numFmtId="0" xfId="0" applyBorder="1" applyFont="1"/>
    <xf borderId="0" fillId="0" fontId="3" numFmtId="0" xfId="0" applyAlignment="1" applyFont="1">
      <alignment shrinkToFit="0" vertical="center" wrapText="1"/>
    </xf>
    <xf borderId="0" fillId="0" fontId="1" numFmtId="0" xfId="0" applyAlignment="1" applyFont="1">
      <alignment horizontal="center" vertical="center"/>
    </xf>
    <xf borderId="4" fillId="0" fontId="6" numFmtId="0" xfId="0" applyBorder="1" applyFont="1"/>
    <xf borderId="2" fillId="0" fontId="4" numFmtId="0" xfId="0" applyAlignment="1" applyBorder="1" applyFont="1">
      <alignment horizontal="center" vertical="center"/>
    </xf>
    <xf borderId="5" fillId="0" fontId="6" numFmtId="0" xfId="0" applyBorder="1" applyFont="1"/>
    <xf borderId="0" fillId="0" fontId="4" numFmtId="0" xfId="0" applyAlignment="1" applyFont="1">
      <alignment shrinkToFit="0" vertical="center" wrapText="1"/>
    </xf>
    <xf borderId="0" fillId="0" fontId="3" numFmtId="0" xfId="0" applyFont="1"/>
    <xf borderId="2" fillId="0" fontId="4" numFmtId="164" xfId="0" applyAlignment="1" applyBorder="1" applyFont="1" applyNumberFormat="1">
      <alignment horizontal="center" readingOrder="0" vertical="center"/>
    </xf>
    <xf borderId="0" fillId="0" fontId="4" numFmtId="0" xfId="0" applyFont="1"/>
    <xf borderId="6" fillId="0" fontId="3" numFmtId="0" xfId="0" applyAlignment="1" applyBorder="1" applyFont="1">
      <alignment horizontal="left" readingOrder="0" shrinkToFit="0" vertical="center" wrapText="1"/>
    </xf>
    <xf borderId="7" fillId="0" fontId="6" numFmtId="0" xfId="0" applyBorder="1" applyFont="1"/>
    <xf borderId="2" fillId="0" fontId="3" numFmtId="0" xfId="0" applyAlignment="1" applyBorder="1" applyFont="1">
      <alignment horizontal="center" vertical="center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6" fillId="0" fontId="3" numFmtId="0" xfId="0" applyAlignment="1" applyBorder="1" applyFont="1">
      <alignment horizontal="left" readingOrder="0" shrinkToFit="0" vertical="top" wrapText="1"/>
    </xf>
    <xf borderId="0" fillId="0" fontId="3" numFmtId="0" xfId="0" applyAlignment="1" applyFont="1">
      <alignment horizontal="center" vertical="center"/>
    </xf>
    <xf borderId="6" fillId="0" fontId="3" numFmtId="0" xfId="0" applyAlignment="1" applyBorder="1" applyFont="1">
      <alignment horizontal="left" shrinkToFit="0" vertical="top" wrapText="1"/>
    </xf>
    <xf borderId="0" fillId="0" fontId="3" numFmtId="4" xfId="0" applyFont="1" applyNumberFormat="1"/>
    <xf borderId="0" fillId="0" fontId="7" numFmtId="0" xfId="0" applyAlignment="1" applyFont="1">
      <alignment horizontal="left" readingOrder="1" shrinkToFit="0" vertical="top" wrapText="1"/>
    </xf>
    <xf borderId="11" fillId="0" fontId="8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horizontal="left" readingOrder="1" shrinkToFit="0" vertical="top" wrapText="1"/>
    </xf>
    <xf borderId="0" fillId="0" fontId="3" numFmtId="0" xfId="0" applyAlignment="1" applyFont="1">
      <alignment vertical="top"/>
    </xf>
    <xf borderId="0" fillId="0" fontId="10" numFmtId="0" xfId="0" applyAlignment="1" applyFont="1">
      <alignment horizontal="center" vertical="center"/>
    </xf>
    <xf borderId="0" fillId="0" fontId="9" numFmtId="0" xfId="0" applyAlignment="1" applyFont="1">
      <alignment horizontal="center" readingOrder="1" shrinkToFit="0" vertical="top" wrapText="1"/>
    </xf>
    <xf borderId="0" fillId="0" fontId="3" numFmtId="0" xfId="0" applyAlignment="1" applyFont="1">
      <alignment horizontal="left" readingOrder="1"/>
    </xf>
    <xf borderId="0" fillId="0" fontId="10" numFmtId="0" xfId="0" applyAlignment="1" applyFont="1">
      <alignment vertical="center"/>
    </xf>
    <xf borderId="2" fillId="2" fontId="11" numFmtId="0" xfId="0" applyAlignment="1" applyBorder="1" applyFill="1" applyFont="1">
      <alignment horizontal="center" readingOrder="1" shrinkToFit="0" vertical="center" wrapText="1"/>
    </xf>
    <xf borderId="2" fillId="0" fontId="12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13" fillId="2" fontId="11" numFmtId="0" xfId="0" applyAlignment="1" applyBorder="1" applyFont="1">
      <alignment horizontal="center" readingOrder="1" shrinkToFit="0" vertical="center" wrapText="1"/>
    </xf>
    <xf borderId="13" fillId="0" fontId="13" numFmtId="0" xfId="0" applyAlignment="1" applyBorder="1" applyFont="1">
      <alignment horizontal="center" shrinkToFit="0" vertical="center" wrapText="1"/>
    </xf>
    <xf borderId="6" fillId="2" fontId="11" numFmtId="0" xfId="0" applyAlignment="1" applyBorder="1" applyFont="1">
      <alignment horizontal="center" readingOrder="1" shrinkToFit="0" vertical="center" wrapText="1"/>
    </xf>
    <xf borderId="6" fillId="0" fontId="14" numFmtId="0" xfId="0" applyAlignment="1" applyBorder="1" applyFont="1">
      <alignment horizontal="center" vertical="center"/>
    </xf>
    <xf borderId="0" fillId="0" fontId="14" numFmtId="0" xfId="0" applyAlignment="1" applyFont="1">
      <alignment horizontal="center" vertical="center"/>
    </xf>
    <xf borderId="14" fillId="0" fontId="6" numFmtId="0" xfId="0" applyBorder="1" applyFont="1"/>
    <xf borderId="1" fillId="0" fontId="13" numFmtId="0" xfId="0" applyAlignment="1" applyBorder="1" applyFont="1">
      <alignment horizontal="center" shrinkToFit="0" vertical="center" wrapText="1"/>
    </xf>
    <xf borderId="1" fillId="2" fontId="11" numFmtId="0" xfId="0" applyAlignment="1" applyBorder="1" applyFont="1">
      <alignment horizontal="center" readingOrder="1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5" numFmtId="0" xfId="0" applyFont="1"/>
    <xf borderId="13" fillId="0" fontId="16" numFmtId="0" xfId="0" applyAlignment="1" applyBorder="1" applyFont="1">
      <alignment horizontal="center" readingOrder="1" shrinkToFit="0" vertical="center" wrapText="1"/>
    </xf>
    <xf borderId="1" fillId="0" fontId="3" numFmtId="0" xfId="0" applyAlignment="1" applyBorder="1" applyFont="1">
      <alignment shrinkToFit="0" vertical="center" wrapText="1"/>
    </xf>
    <xf borderId="2" fillId="0" fontId="16" numFmtId="0" xfId="0" applyAlignment="1" applyBorder="1" applyFont="1">
      <alignment horizontal="left" readingOrder="1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16" numFmtId="0" xfId="0" applyAlignment="1" applyBorder="1" applyFont="1">
      <alignment horizontal="center" readingOrder="1" shrinkToFit="0" vertical="center" wrapText="1"/>
    </xf>
    <xf borderId="1" fillId="3" fontId="3" numFmtId="0" xfId="0" applyAlignment="1" applyBorder="1" applyFill="1" applyFont="1">
      <alignment horizontal="center" vertical="center"/>
    </xf>
    <xf borderId="1" fillId="0" fontId="16" numFmtId="0" xfId="0" applyAlignment="1" applyBorder="1" applyFont="1">
      <alignment horizontal="left" readingOrder="1" shrinkToFit="0" vertical="center" wrapText="1"/>
    </xf>
    <xf borderId="15" fillId="3" fontId="16" numFmtId="4" xfId="0" applyAlignment="1" applyBorder="1" applyFont="1" applyNumberFormat="1">
      <alignment horizontal="center" readingOrder="1" shrinkToFit="0" vertical="center" wrapText="1"/>
    </xf>
    <xf borderId="1" fillId="3" fontId="3" numFmtId="9" xfId="0" applyAlignment="1" applyBorder="1" applyFont="1" applyNumberFormat="1">
      <alignment horizontal="center" vertical="center"/>
    </xf>
    <xf borderId="1" fillId="0" fontId="3" numFmtId="10" xfId="0" applyAlignment="1" applyBorder="1" applyFont="1" applyNumberFormat="1">
      <alignment horizontal="center" vertical="center"/>
    </xf>
    <xf borderId="1" fillId="0" fontId="16" numFmtId="0" xfId="0" applyAlignment="1" applyBorder="1" applyFont="1">
      <alignment horizontal="center" readingOrder="1" shrinkToFit="0" vertical="center" wrapText="1"/>
    </xf>
    <xf borderId="16" fillId="0" fontId="6" numFmtId="0" xfId="0" applyBorder="1" applyFont="1"/>
    <xf borderId="17" fillId="3" fontId="16" numFmtId="4" xfId="0" applyAlignment="1" applyBorder="1" applyFont="1" applyNumberFormat="1">
      <alignment horizontal="center" readingOrder="1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horizontal="center" readingOrder="0" vertical="center"/>
    </xf>
    <xf borderId="1" fillId="0" fontId="16" numFmtId="3" xfId="0" applyAlignment="1" applyBorder="1" applyFont="1" applyNumberFormat="1">
      <alignment horizontal="center" readingOrder="1" shrinkToFit="0" vertical="center" wrapText="1"/>
    </xf>
    <xf borderId="1" fillId="3" fontId="3" numFmtId="9" xfId="0" applyAlignment="1" applyBorder="1" applyFont="1" applyNumberFormat="1">
      <alignment horizontal="center" readingOrder="0" vertical="center"/>
    </xf>
    <xf borderId="1" fillId="0" fontId="3" numFmtId="10" xfId="0" applyAlignment="1" applyBorder="1" applyFont="1" applyNumberFormat="1">
      <alignment horizontal="center" readingOrder="0" vertical="center"/>
    </xf>
    <xf borderId="1" fillId="0" fontId="16" numFmtId="4" xfId="0" applyAlignment="1" applyBorder="1" applyFont="1" applyNumberFormat="1">
      <alignment horizontal="center" readingOrder="1" shrinkToFit="0" vertical="center" wrapText="1"/>
    </xf>
    <xf borderId="13" fillId="3" fontId="16" numFmtId="0" xfId="0" applyAlignment="1" applyBorder="1" applyFont="1">
      <alignment horizontal="center" readingOrder="1" shrinkToFit="0" vertical="center" wrapText="1"/>
    </xf>
    <xf borderId="2" fillId="3" fontId="16" numFmtId="0" xfId="0" applyAlignment="1" applyBorder="1" applyFont="1">
      <alignment horizontal="left" readingOrder="1" shrinkToFit="0" vertical="center" wrapText="1"/>
    </xf>
    <xf borderId="17" fillId="3" fontId="16" numFmtId="0" xfId="0" applyAlignment="1" applyBorder="1" applyFont="1">
      <alignment horizontal="center" readingOrder="1" shrinkToFit="0" vertical="center" wrapText="1"/>
    </xf>
    <xf borderId="18" fillId="3" fontId="16" numFmtId="0" xfId="0" applyAlignment="1" applyBorder="1" applyFont="1">
      <alignment horizontal="left" readingOrder="1" shrinkToFit="0" vertical="center" wrapText="1"/>
    </xf>
    <xf borderId="1" fillId="3" fontId="16" numFmtId="4" xfId="0" applyAlignment="1" applyBorder="1" applyFont="1" applyNumberFormat="1">
      <alignment horizontal="center" readingOrder="1" shrinkToFit="0" vertical="center" wrapText="1"/>
    </xf>
    <xf borderId="1" fillId="3" fontId="16" numFmtId="165" xfId="0" applyAlignment="1" applyBorder="1" applyFont="1" applyNumberFormat="1">
      <alignment horizontal="center" readingOrder="1" shrinkToFit="0" vertical="center" wrapText="1"/>
    </xf>
    <xf borderId="1" fillId="3" fontId="16" numFmtId="0" xfId="0" applyAlignment="1" applyBorder="1" applyFont="1">
      <alignment horizontal="center" readingOrder="1" shrinkToFit="0" vertical="center" wrapText="1"/>
    </xf>
    <xf borderId="1" fillId="4" fontId="14" numFmtId="165" xfId="0" applyAlignment="1" applyBorder="1" applyFill="1" applyFont="1" applyNumberFormat="1">
      <alignment horizontal="center" readingOrder="1" shrinkToFit="0" vertical="center" wrapText="1"/>
    </xf>
    <xf borderId="17" fillId="3" fontId="16" numFmtId="9" xfId="0" applyAlignment="1" applyBorder="1" applyFont="1" applyNumberFormat="1">
      <alignment horizontal="center" readingOrder="1" shrinkToFit="0" vertical="center" wrapText="1"/>
    </xf>
    <xf borderId="1" fillId="3" fontId="16" numFmtId="9" xfId="0" applyAlignment="1" applyBorder="1" applyFont="1" applyNumberFormat="1">
      <alignment horizontal="center" readingOrder="1" shrinkToFit="0" vertical="center" wrapText="1"/>
    </xf>
    <xf borderId="1" fillId="3" fontId="16" numFmtId="10" xfId="0" applyAlignment="1" applyBorder="1" applyFont="1" applyNumberFormat="1">
      <alignment horizontal="center" readingOrder="1" shrinkToFit="0" vertical="center" wrapText="1"/>
    </xf>
    <xf borderId="1" fillId="3" fontId="16" numFmtId="0" xfId="0" applyAlignment="1" applyBorder="1" applyFont="1">
      <alignment horizontal="center" readingOrder="1" shrinkToFit="0" vertical="center" wrapText="1"/>
    </xf>
    <xf borderId="19" fillId="3" fontId="16" numFmtId="4" xfId="0" applyAlignment="1" applyBorder="1" applyFont="1" applyNumberFormat="1">
      <alignment horizontal="center" readingOrder="1" shrinkToFit="0" vertical="center" wrapText="1"/>
    </xf>
    <xf borderId="1" fillId="4" fontId="16" numFmtId="165" xfId="0" applyAlignment="1" applyBorder="1" applyFont="1" applyNumberFormat="1">
      <alignment horizontal="center" readingOrder="1" shrinkToFit="0" vertical="center" wrapText="1"/>
    </xf>
    <xf borderId="19" fillId="3" fontId="16" numFmtId="0" xfId="0" applyAlignment="1" applyBorder="1" applyFont="1">
      <alignment horizontal="center" readingOrder="1" shrinkToFit="0" vertical="center" wrapText="1"/>
    </xf>
    <xf borderId="1" fillId="3" fontId="16" numFmtId="0" xfId="0" applyAlignment="1" applyBorder="1" applyFont="1">
      <alignment horizontal="left" readingOrder="1" shrinkToFit="0" vertical="center" wrapText="1"/>
    </xf>
    <xf borderId="1" fillId="3" fontId="16" numFmtId="3" xfId="0" applyAlignment="1" applyBorder="1" applyFont="1" applyNumberFormat="1">
      <alignment horizontal="center" readingOrder="1" shrinkToFit="0" vertical="center" wrapText="1"/>
    </xf>
    <xf borderId="20" fillId="3" fontId="3" numFmtId="0" xfId="0" applyAlignment="1" applyBorder="1" applyFont="1">
      <alignment horizontal="center" vertical="center"/>
    </xf>
    <xf borderId="20" fillId="3" fontId="3" numFmtId="0" xfId="0" applyAlignment="1" applyBorder="1" applyFont="1">
      <alignment vertical="center"/>
    </xf>
    <xf borderId="2" fillId="3" fontId="16" numFmtId="0" xfId="0" applyAlignment="1" applyBorder="1" applyFont="1">
      <alignment horizontal="left" readingOrder="1" shrinkToFit="0" vertical="center" wrapText="1"/>
    </xf>
    <xf borderId="2" fillId="3" fontId="4" numFmtId="0" xfId="0" applyAlignment="1" applyBorder="1" applyFont="1">
      <alignment horizontal="center" vertical="center"/>
    </xf>
    <xf borderId="1" fillId="3" fontId="1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/>
    </xf>
    <xf borderId="1" fillId="5" fontId="3" numFmtId="0" xfId="0" applyAlignment="1" applyBorder="1" applyFill="1" applyFont="1">
      <alignment horizontal="center"/>
    </xf>
    <xf borderId="1" fillId="5" fontId="3" numFmtId="10" xfId="0" applyAlignment="1" applyBorder="1" applyFont="1" applyNumberFormat="1">
      <alignment horizontal="center"/>
    </xf>
    <xf borderId="0" fillId="0" fontId="8" numFmtId="0" xfId="0" applyAlignment="1" applyFont="1">
      <alignment vertical="center"/>
    </xf>
    <xf borderId="1" fillId="3" fontId="3" numFmtId="0" xfId="0" applyAlignment="1" applyBorder="1" applyFont="1">
      <alignment vertical="center"/>
    </xf>
    <xf borderId="0" fillId="0" fontId="8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vertical="center"/>
    </xf>
    <xf borderId="1" fillId="0" fontId="3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 shrinkToFit="0" vertical="center" wrapText="1"/>
    </xf>
    <xf borderId="1" fillId="3" fontId="3" numFmtId="0" xfId="0" applyAlignment="1" applyBorder="1" applyFont="1">
      <alignment horizontal="center"/>
    </xf>
    <xf borderId="0" fillId="0" fontId="10" numFmtId="19" xfId="0" applyAlignment="1" applyFont="1" applyNumberFormat="1">
      <alignment horizontal="center" vertical="center"/>
    </xf>
    <xf borderId="0" fillId="0" fontId="10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left" shrinkToFit="0" wrapText="1"/>
    </xf>
    <xf borderId="0" fillId="0" fontId="10" numFmtId="0" xfId="0" applyFont="1"/>
    <xf borderId="0" fillId="0" fontId="10" numFmtId="0" xfId="0" applyAlignment="1" applyFont="1">
      <alignment horizontal="left" shrinkToFit="0" wrapText="1"/>
    </xf>
    <xf borderId="0" fillId="0" fontId="17" numFmtId="0" xfId="0" applyAlignment="1" applyFont="1">
      <alignment vertical="center"/>
    </xf>
    <xf borderId="0" fillId="0" fontId="18" numFmtId="0" xfId="0" applyAlignment="1" applyFont="1">
      <alignment horizontal="left" shrinkToFit="0" vertical="center" wrapText="1"/>
    </xf>
    <xf borderId="0" fillId="0" fontId="18" numFmtId="0" xfId="0" applyAlignment="1" applyFont="1">
      <alignment vertical="center"/>
    </xf>
    <xf borderId="2" fillId="0" fontId="13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8" numFmtId="0" xfId="0" applyAlignment="1" applyFont="1">
      <alignment horizontal="center" vertical="center"/>
    </xf>
    <xf borderId="13" fillId="0" fontId="19" numFmtId="0" xfId="0" applyAlignment="1" applyBorder="1" applyFont="1">
      <alignment horizontal="center" shrinkToFit="0" vertical="center" wrapText="1"/>
    </xf>
    <xf borderId="0" fillId="0" fontId="19" numFmtId="0" xfId="0" applyFont="1"/>
    <xf borderId="0" fillId="0" fontId="19" numFmtId="0" xfId="0" applyAlignment="1" applyFont="1">
      <alignment horizontal="center" shrinkToFit="0" vertical="center" wrapText="1"/>
    </xf>
    <xf borderId="13" fillId="0" fontId="17" numFmtId="0" xfId="0" applyAlignment="1" applyBorder="1" applyFont="1">
      <alignment horizontal="center" vertical="center"/>
    </xf>
    <xf borderId="13" fillId="0" fontId="18" numFmtId="0" xfId="0" applyAlignment="1" applyBorder="1" applyFont="1">
      <alignment horizontal="left" shrinkToFit="0" vertical="center" wrapText="1"/>
    </xf>
    <xf borderId="13" fillId="0" fontId="18" numFmtId="0" xfId="0" applyAlignment="1" applyBorder="1" applyFont="1">
      <alignment horizontal="center" vertical="center"/>
    </xf>
    <xf borderId="13" fillId="0" fontId="18" numFmtId="166" xfId="0" applyAlignment="1" applyBorder="1" applyFont="1" applyNumberFormat="1">
      <alignment horizontal="center" vertical="center"/>
    </xf>
    <xf borderId="1" fillId="0" fontId="18" numFmtId="166" xfId="0" applyAlignment="1" applyBorder="1" applyFont="1" applyNumberFormat="1">
      <alignment horizontal="center" vertical="center"/>
    </xf>
    <xf borderId="1" fillId="0" fontId="18" numFmtId="49" xfId="0" applyAlignment="1" applyBorder="1" applyFont="1" applyNumberFormat="1">
      <alignment horizontal="center" vertical="center"/>
    </xf>
    <xf borderId="1" fillId="0" fontId="18" numFmtId="0" xfId="0" applyAlignment="1" applyBorder="1" applyFont="1">
      <alignment horizontal="center" vertical="center"/>
    </xf>
    <xf borderId="1" fillId="0" fontId="17" numFmtId="10" xfId="0" applyAlignment="1" applyBorder="1" applyFont="1" applyNumberFormat="1">
      <alignment horizontal="center" vertical="center"/>
    </xf>
    <xf borderId="0" fillId="0" fontId="17" numFmtId="0" xfId="0" applyFont="1"/>
    <xf borderId="13" fillId="0" fontId="18" numFmtId="0" xfId="0" applyAlignment="1" applyBorder="1" applyFont="1">
      <alignment horizontal="center" shrinkToFit="0" vertical="center" wrapText="1"/>
    </xf>
    <xf borderId="13" fillId="0" fontId="18" numFmtId="0" xfId="0" applyAlignment="1" applyBorder="1" applyFont="1">
      <alignment readingOrder="0" shrinkToFit="0" vertical="center" wrapText="1"/>
    </xf>
    <xf borderId="13" fillId="0" fontId="18" numFmtId="0" xfId="0" applyAlignment="1" applyBorder="1" applyFont="1">
      <alignment horizontal="center" readingOrder="0" vertical="center"/>
    </xf>
    <xf borderId="13" fillId="0" fontId="18" numFmtId="166" xfId="0" applyAlignment="1" applyBorder="1" applyFont="1" applyNumberFormat="1">
      <alignment horizontal="center" readingOrder="0" vertical="center"/>
    </xf>
    <xf borderId="1" fillId="0" fontId="18" numFmtId="166" xfId="0" applyAlignment="1" applyBorder="1" applyFont="1" applyNumberFormat="1">
      <alignment horizontal="center" readingOrder="0" vertical="center"/>
    </xf>
    <xf borderId="1" fillId="0" fontId="18" numFmtId="167" xfId="0" applyAlignment="1" applyBorder="1" applyFont="1" applyNumberFormat="1">
      <alignment horizontal="center" readingOrder="0" vertical="center"/>
    </xf>
    <xf borderId="1" fillId="0" fontId="18" numFmtId="0" xfId="0" applyAlignment="1" applyBorder="1" applyFont="1">
      <alignment horizontal="center" readingOrder="0" vertical="center"/>
    </xf>
    <xf borderId="13" fillId="0" fontId="17" numFmtId="10" xfId="0" applyAlignment="1" applyBorder="1" applyFont="1" applyNumberFormat="1">
      <alignment horizontal="center" vertical="center"/>
    </xf>
    <xf borderId="1" fillId="0" fontId="17" numFmtId="166" xfId="0" applyAlignment="1" applyBorder="1" applyFont="1" applyNumberFormat="1">
      <alignment horizontal="center"/>
    </xf>
    <xf borderId="1" fillId="0" fontId="18" numFmtId="168" xfId="0" applyAlignment="1" applyBorder="1" applyFont="1" applyNumberFormat="1">
      <alignment horizontal="center" readingOrder="0" vertical="center"/>
    </xf>
    <xf borderId="13" fillId="0" fontId="17" numFmtId="10" xfId="0" applyAlignment="1" applyBorder="1" applyFont="1" applyNumberFormat="1">
      <alignment horizontal="center" readingOrder="0" vertical="center"/>
    </xf>
    <xf borderId="1" fillId="0" fontId="17" numFmtId="0" xfId="0" applyAlignment="1" applyBorder="1" applyFont="1">
      <alignment horizontal="center" vertical="center"/>
    </xf>
    <xf borderId="1" fillId="0" fontId="18" numFmtId="0" xfId="0" applyAlignment="1" applyBorder="1" applyFont="1">
      <alignment shrinkToFit="0" vertical="center" wrapText="1"/>
    </xf>
    <xf borderId="13" fillId="0" fontId="18" numFmtId="0" xfId="0" applyAlignment="1" applyBorder="1" applyFont="1">
      <alignment shrinkToFit="0" vertical="center" wrapText="1"/>
    </xf>
    <xf borderId="0" fillId="0" fontId="18" numFmtId="0" xfId="0" applyFont="1"/>
    <xf borderId="13" fillId="0" fontId="17" numFmtId="9" xfId="0" applyAlignment="1" applyBorder="1" applyFont="1" applyNumberFormat="1">
      <alignment horizontal="center" readingOrder="0" vertical="center"/>
    </xf>
    <xf borderId="13" fillId="0" fontId="18" numFmtId="0" xfId="0" applyAlignment="1" applyBorder="1" applyFont="1">
      <alignment horizontal="left" vertical="center"/>
    </xf>
    <xf borderId="1" fillId="0" fontId="18" numFmtId="166" xfId="0" applyAlignment="1" applyBorder="1" applyFont="1" applyNumberFormat="1">
      <alignment horizontal="center" shrinkToFit="0" vertical="center" wrapText="1"/>
    </xf>
    <xf borderId="13" fillId="0" fontId="18" numFmtId="166" xfId="0" applyAlignment="1" applyBorder="1" applyFont="1" applyNumberFormat="1">
      <alignment vertical="center"/>
    </xf>
    <xf borderId="1" fillId="0" fontId="19" numFmtId="166" xfId="0" applyAlignment="1" applyBorder="1" applyFont="1" applyNumberFormat="1">
      <alignment horizontal="center"/>
    </xf>
    <xf borderId="1" fillId="0" fontId="18" numFmtId="0" xfId="0" applyAlignment="1" applyBorder="1" applyFont="1">
      <alignment vertical="center"/>
    </xf>
    <xf borderId="0" fillId="0" fontId="19" numFmtId="0" xfId="0" applyAlignment="1" applyFont="1">
      <alignment vertical="center"/>
    </xf>
    <xf borderId="1" fillId="0" fontId="3" numFmtId="0" xfId="0" applyBorder="1" applyFont="1"/>
    <xf borderId="13" fillId="0" fontId="18" numFmtId="4" xfId="0" applyAlignment="1" applyBorder="1" applyFont="1" applyNumberFormat="1">
      <alignment horizontal="center" vertical="center"/>
    </xf>
    <xf borderId="1" fillId="0" fontId="18" numFmtId="169" xfId="0" applyAlignment="1" applyBorder="1" applyFont="1" applyNumberFormat="1">
      <alignment horizontal="center" vertical="center"/>
    </xf>
    <xf borderId="13" fillId="0" fontId="18" numFmtId="0" xfId="0" applyAlignment="1" applyBorder="1" applyFont="1">
      <alignment vertical="center"/>
    </xf>
    <xf borderId="1" fillId="0" fontId="19" numFmtId="0" xfId="0" applyAlignment="1" applyBorder="1" applyFont="1">
      <alignment vertical="center"/>
    </xf>
    <xf borderId="1" fillId="0" fontId="13" numFmtId="166" xfId="0" applyAlignment="1" applyBorder="1" applyFont="1" applyNumberFormat="1">
      <alignment horizontal="center" vertical="center"/>
    </xf>
    <xf borderId="2" fillId="0" fontId="13" numFmtId="166" xfId="0" applyAlignment="1" applyBorder="1" applyFont="1" applyNumberFormat="1">
      <alignment horizontal="center" vertical="center"/>
    </xf>
    <xf borderId="1" fillId="0" fontId="13" numFmtId="166" xfId="0" applyAlignment="1" applyBorder="1" applyFont="1" applyNumberFormat="1">
      <alignment vertical="center"/>
    </xf>
    <xf borderId="2" fillId="0" fontId="13" numFmtId="0" xfId="0" applyAlignment="1" applyBorder="1" applyFont="1">
      <alignment vertical="center"/>
    </xf>
    <xf borderId="0" fillId="0" fontId="8" numFmtId="0" xfId="0" applyFont="1"/>
    <xf borderId="0" fillId="0" fontId="2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3" width="10.71"/>
    <col customWidth="1" min="4" max="4" width="6.0"/>
    <col customWidth="1" min="5" max="5" width="15.29"/>
    <col customWidth="1" min="6" max="6" width="10.71"/>
    <col customWidth="1" min="7" max="7" width="5.14"/>
    <col customWidth="1" min="8" max="8" width="17.71"/>
    <col customWidth="1" min="9" max="9" width="15.29"/>
    <col customWidth="1" min="10" max="10" width="7.14"/>
    <col customWidth="1" min="11" max="26" width="10.71"/>
  </cols>
  <sheetData>
    <row r="1">
      <c r="C1" s="2" t="s">
        <v>2</v>
      </c>
    </row>
    <row r="2">
      <c r="C2" s="2"/>
      <c r="D2" s="2"/>
      <c r="E2" s="2"/>
      <c r="F2" s="2"/>
      <c r="G2" s="2"/>
    </row>
    <row r="3" ht="21.75" customHeight="1">
      <c r="A3" s="5" t="s">
        <v>4</v>
      </c>
      <c r="B3" s="8" t="s">
        <v>5</v>
      </c>
      <c r="C3" s="10" t="s">
        <v>6</v>
      </c>
      <c r="D3" s="11" t="s">
        <v>7</v>
      </c>
      <c r="E3" s="12"/>
      <c r="F3" s="7"/>
      <c r="G3" s="5" t="s">
        <v>8</v>
      </c>
      <c r="H3" s="15"/>
      <c r="I3" s="16" t="s">
        <v>9</v>
      </c>
      <c r="J3" s="12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5" ht="22.5" customHeight="1">
      <c r="G5" s="5" t="s">
        <v>12</v>
      </c>
      <c r="H5" s="15"/>
      <c r="I5" s="20">
        <v>46115.0</v>
      </c>
      <c r="J5" s="12"/>
    </row>
    <row r="6">
      <c r="A6" s="21" t="s">
        <v>15</v>
      </c>
    </row>
    <row r="7" ht="23.25" customHeight="1">
      <c r="A7" s="24" t="s">
        <v>17</v>
      </c>
      <c r="B7" s="17"/>
      <c r="C7" s="17"/>
      <c r="D7" s="17"/>
      <c r="E7" s="17"/>
      <c r="F7" s="17"/>
      <c r="G7" s="17"/>
      <c r="H7" s="17"/>
      <c r="I7" s="17"/>
      <c r="J7" s="12"/>
    </row>
    <row r="9">
      <c r="A9" s="21" t="s">
        <v>18</v>
      </c>
    </row>
    <row r="10" ht="21.75" customHeight="1">
      <c r="A10" s="24" t="s">
        <v>19</v>
      </c>
      <c r="B10" s="17"/>
      <c r="C10" s="17"/>
      <c r="D10" s="17"/>
      <c r="E10" s="17"/>
      <c r="F10" s="17"/>
      <c r="G10" s="17"/>
      <c r="H10" s="17"/>
      <c r="I10" s="17"/>
      <c r="J10" s="12"/>
    </row>
    <row r="13" ht="15.0" customHeight="1">
      <c r="A13" s="32" t="s">
        <v>22</v>
      </c>
      <c r="B13" s="23"/>
      <c r="C13" s="23"/>
      <c r="D13" s="23"/>
      <c r="E13" s="23"/>
      <c r="F13" s="23"/>
      <c r="G13" s="23"/>
      <c r="H13" s="25"/>
    </row>
    <row r="14">
      <c r="A14" s="26"/>
      <c r="H14" s="15"/>
    </row>
    <row r="15">
      <c r="A15" s="26"/>
      <c r="H15" s="15"/>
    </row>
    <row r="16">
      <c r="A16" s="26"/>
      <c r="H16" s="15"/>
    </row>
    <row r="17">
      <c r="A17" s="26"/>
      <c r="H17" s="15"/>
    </row>
    <row r="18">
      <c r="A18" s="26"/>
      <c r="H18" s="15"/>
    </row>
    <row r="19" ht="10.5" customHeight="1">
      <c r="A19" s="27"/>
      <c r="B19" s="28"/>
      <c r="C19" s="28"/>
      <c r="D19" s="28"/>
      <c r="E19" s="28"/>
      <c r="F19" s="28"/>
      <c r="G19" s="28"/>
      <c r="H19" s="29"/>
    </row>
    <row r="20">
      <c r="B20" s="37"/>
      <c r="C20" s="37"/>
      <c r="D20" s="37"/>
      <c r="E20" s="37"/>
      <c r="F20" s="37"/>
      <c r="G20" s="37"/>
      <c r="H20" s="37"/>
    </row>
    <row r="21" ht="15.75" customHeight="1">
      <c r="A21" s="43" t="s">
        <v>27</v>
      </c>
      <c r="B21" s="17"/>
      <c r="C21" s="17"/>
      <c r="D21" s="12"/>
      <c r="E21" s="44"/>
      <c r="H21" s="43" t="s">
        <v>30</v>
      </c>
      <c r="I21" s="17"/>
      <c r="J21" s="12"/>
    </row>
    <row r="22" ht="15.75" customHeight="1">
      <c r="A22" s="48"/>
      <c r="B22" s="23"/>
      <c r="C22" s="23"/>
      <c r="D22" s="25"/>
      <c r="E22" s="49"/>
      <c r="H22" s="48"/>
      <c r="I22" s="23"/>
      <c r="J22" s="25"/>
    </row>
    <row r="23" ht="15.75" customHeight="1">
      <c r="A23" s="26"/>
      <c r="D23" s="15"/>
      <c r="H23" s="26"/>
      <c r="J23" s="15"/>
    </row>
    <row r="24" ht="15.75" customHeight="1">
      <c r="A24" s="26"/>
      <c r="D24" s="15"/>
      <c r="H24" s="26"/>
      <c r="J24" s="15"/>
    </row>
    <row r="25" ht="15.75" customHeight="1">
      <c r="A25" s="26"/>
      <c r="D25" s="15"/>
      <c r="H25" s="26"/>
      <c r="J25" s="15"/>
    </row>
    <row r="26" ht="15.75" customHeight="1">
      <c r="A26" s="27"/>
      <c r="B26" s="28"/>
      <c r="C26" s="28"/>
      <c r="D26" s="29"/>
      <c r="H26" s="27"/>
      <c r="I26" s="28"/>
      <c r="J26" s="29"/>
    </row>
    <row r="27" ht="15.75" customHeight="1">
      <c r="A27" s="43" t="s">
        <v>47</v>
      </c>
      <c r="B27" s="17"/>
      <c r="C27" s="17"/>
      <c r="D27" s="12"/>
      <c r="E27" s="44"/>
      <c r="H27" s="43" t="s">
        <v>47</v>
      </c>
      <c r="I27" s="17"/>
      <c r="J27" s="12"/>
    </row>
    <row r="28" ht="15.75" customHeight="1">
      <c r="A28" s="54" t="s">
        <v>51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C1:H1"/>
    <mergeCell ref="D3:E3"/>
    <mergeCell ref="G3:H3"/>
    <mergeCell ref="I3:J3"/>
    <mergeCell ref="G5:H5"/>
    <mergeCell ref="I5:J5"/>
    <mergeCell ref="A7:J7"/>
    <mergeCell ref="A22:D26"/>
    <mergeCell ref="A27:D27"/>
    <mergeCell ref="E27:G27"/>
    <mergeCell ref="H27:J27"/>
    <mergeCell ref="A10:J10"/>
    <mergeCell ref="A13:H19"/>
    <mergeCell ref="A21:D21"/>
    <mergeCell ref="E21:G21"/>
    <mergeCell ref="H21:J21"/>
    <mergeCell ref="E22:G26"/>
    <mergeCell ref="H22:J26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4.86"/>
    <col customWidth="1" min="2" max="2" width="17.29"/>
    <col customWidth="1" min="3" max="3" width="13.43"/>
    <col customWidth="1" min="4" max="4" width="10.71"/>
    <col customWidth="1" min="5" max="5" width="15.29"/>
    <col customWidth="1" min="6" max="6" width="10.71"/>
    <col customWidth="1" min="7" max="7" width="15.0"/>
    <col customWidth="1" min="8" max="8" width="19.57"/>
    <col customWidth="1" min="9" max="9" width="15.29"/>
    <col customWidth="1" min="10" max="10" width="24.57"/>
    <col customWidth="1" min="11" max="26" width="10.71"/>
  </cols>
  <sheetData>
    <row r="1" ht="27.75" customHeight="1">
      <c r="A1" s="1" t="s">
        <v>1</v>
      </c>
      <c r="B1" s="1"/>
      <c r="C1" s="1"/>
      <c r="D1" s="1"/>
      <c r="E1" s="1"/>
      <c r="F1" s="1"/>
    </row>
    <row r="2" ht="9.0" customHeight="1">
      <c r="C2" s="2"/>
      <c r="D2" s="2"/>
      <c r="E2" s="2"/>
      <c r="F2" s="2"/>
      <c r="G2" s="2"/>
      <c r="H2" s="2"/>
    </row>
    <row r="3" ht="22.5" customHeight="1">
      <c r="A3" s="7" t="s">
        <v>4</v>
      </c>
      <c r="B3" s="8" t="s">
        <v>5</v>
      </c>
      <c r="C3" s="10" t="s">
        <v>6</v>
      </c>
      <c r="D3" s="11" t="s">
        <v>7</v>
      </c>
      <c r="E3" s="12"/>
      <c r="F3" s="7"/>
      <c r="G3" s="10" t="s">
        <v>8</v>
      </c>
      <c r="H3" s="15"/>
      <c r="I3" s="16" t="s">
        <v>9</v>
      </c>
      <c r="J3" s="12"/>
    </row>
    <row r="5" ht="19.5" customHeight="1">
      <c r="A5" s="7" t="s">
        <v>10</v>
      </c>
      <c r="B5" s="16" t="s">
        <v>11</v>
      </c>
      <c r="C5" s="17"/>
      <c r="D5" s="12"/>
      <c r="G5" s="10" t="s">
        <v>12</v>
      </c>
      <c r="H5" s="15"/>
      <c r="I5" s="20">
        <v>46115.0</v>
      </c>
      <c r="J5" s="12"/>
    </row>
    <row r="6">
      <c r="A6" s="19" t="s">
        <v>14</v>
      </c>
    </row>
    <row r="7" ht="7.5" customHeight="1"/>
    <row r="8">
      <c r="A8" s="22" t="s">
        <v>16</v>
      </c>
      <c r="B8" s="23"/>
      <c r="C8" s="23"/>
      <c r="D8" s="23"/>
      <c r="E8" s="23"/>
      <c r="F8" s="23"/>
      <c r="G8" s="23"/>
      <c r="H8" s="23"/>
      <c r="I8" s="23"/>
      <c r="J8" s="25"/>
    </row>
    <row r="9">
      <c r="A9" s="26"/>
      <c r="J9" s="15"/>
    </row>
    <row r="10">
      <c r="A10" s="26"/>
      <c r="J10" s="15"/>
    </row>
    <row r="11">
      <c r="A11" s="26"/>
      <c r="J11" s="15"/>
    </row>
    <row r="12">
      <c r="A12" s="26"/>
      <c r="J12" s="15"/>
    </row>
    <row r="13" ht="1.5" customHeight="1">
      <c r="A13" s="26"/>
      <c r="J13" s="15"/>
    </row>
    <row r="14" ht="1.5" customHeight="1">
      <c r="A14" s="27"/>
      <c r="B14" s="28"/>
      <c r="C14" s="28"/>
      <c r="D14" s="28"/>
      <c r="E14" s="28"/>
      <c r="F14" s="28"/>
      <c r="G14" s="28"/>
      <c r="H14" s="28"/>
      <c r="I14" s="28"/>
      <c r="J14" s="29"/>
    </row>
    <row r="15" ht="9.75" customHeight="1">
      <c r="A15" s="19" t="s">
        <v>20</v>
      </c>
    </row>
    <row r="16" ht="9.75" customHeight="1"/>
    <row r="17" ht="36.0" customHeight="1">
      <c r="A17" s="30" t="s">
        <v>21</v>
      </c>
      <c r="B17" s="23"/>
      <c r="C17" s="23"/>
      <c r="D17" s="23"/>
      <c r="E17" s="23"/>
      <c r="F17" s="23"/>
      <c r="G17" s="23"/>
      <c r="H17" s="23"/>
      <c r="I17" s="23"/>
      <c r="J17" s="25"/>
    </row>
    <row r="18" hidden="1">
      <c r="A18" s="26"/>
      <c r="J18" s="15"/>
    </row>
    <row r="19" ht="1.5" customHeight="1">
      <c r="A19" s="26"/>
      <c r="J19" s="15"/>
    </row>
    <row r="20" ht="24.0" hidden="1" customHeight="1">
      <c r="A20" s="26"/>
      <c r="J20" s="15"/>
    </row>
    <row r="21" ht="49.5" hidden="1" customHeight="1">
      <c r="A21" s="27"/>
      <c r="B21" s="28"/>
      <c r="C21" s="28"/>
      <c r="D21" s="28"/>
      <c r="E21" s="28"/>
      <c r="F21" s="28"/>
      <c r="G21" s="28"/>
      <c r="H21" s="28"/>
      <c r="I21" s="28"/>
      <c r="J21" s="29"/>
    </row>
    <row r="22" ht="10.5" customHeight="1">
      <c r="A22" s="33" t="s">
        <v>23</v>
      </c>
    </row>
    <row r="23" ht="10.5" customHeight="1"/>
    <row r="24" ht="15.75" customHeight="1">
      <c r="A24" s="22" t="s">
        <v>25</v>
      </c>
      <c r="B24" s="23"/>
      <c r="C24" s="23"/>
      <c r="D24" s="23"/>
      <c r="E24" s="23"/>
      <c r="F24" s="23"/>
      <c r="G24" s="23"/>
      <c r="H24" s="23"/>
      <c r="I24" s="23"/>
      <c r="J24" s="25"/>
    </row>
    <row r="25" ht="15.75" customHeight="1">
      <c r="A25" s="26"/>
      <c r="J25" s="15"/>
    </row>
    <row r="26" ht="15.75" customHeight="1">
      <c r="A26" s="26"/>
      <c r="J26" s="15"/>
    </row>
    <row r="27" ht="15.75" customHeight="1">
      <c r="A27" s="27"/>
      <c r="B27" s="28"/>
      <c r="C27" s="28"/>
      <c r="D27" s="28"/>
      <c r="E27" s="28"/>
      <c r="F27" s="28"/>
      <c r="G27" s="28"/>
      <c r="H27" s="28"/>
      <c r="I27" s="28"/>
      <c r="J27" s="29"/>
    </row>
    <row r="28" ht="7.5" customHeight="1">
      <c r="A28" s="4" t="s">
        <v>38</v>
      </c>
    </row>
    <row r="29" ht="7.5" customHeight="1"/>
    <row r="30" ht="24.0" customHeight="1">
      <c r="A30" s="22" t="s">
        <v>42</v>
      </c>
      <c r="B30" s="23"/>
      <c r="C30" s="23"/>
      <c r="D30" s="23"/>
      <c r="E30" s="23"/>
      <c r="F30" s="23"/>
      <c r="G30" s="23"/>
      <c r="H30" s="23"/>
      <c r="I30" s="23"/>
      <c r="J30" s="25"/>
    </row>
    <row r="31" ht="24.75" customHeight="1">
      <c r="A31" s="26"/>
      <c r="J31" s="15"/>
    </row>
    <row r="32" ht="27.0" customHeight="1">
      <c r="A32" s="26"/>
      <c r="J32" s="15"/>
    </row>
    <row r="33" ht="29.25" customHeight="1">
      <c r="A33" s="27"/>
      <c r="B33" s="28"/>
      <c r="C33" s="28"/>
      <c r="D33" s="28"/>
      <c r="E33" s="28"/>
      <c r="F33" s="28"/>
      <c r="G33" s="28"/>
      <c r="H33" s="28"/>
      <c r="I33" s="28"/>
      <c r="J33" s="29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8:J14"/>
    <mergeCell ref="A15:Z16"/>
    <mergeCell ref="A17:J21"/>
    <mergeCell ref="A22:Z23"/>
    <mergeCell ref="A24:J27"/>
    <mergeCell ref="A28:Z29"/>
    <mergeCell ref="A30:J33"/>
    <mergeCell ref="D3:E3"/>
    <mergeCell ref="G3:H3"/>
    <mergeCell ref="I3:J3"/>
    <mergeCell ref="B5:D5"/>
    <mergeCell ref="G5:H5"/>
    <mergeCell ref="I5:J5"/>
    <mergeCell ref="A6:Z7"/>
  </mergeCells>
  <printOptions/>
  <pageMargins bottom="0.75" footer="0.0" header="0.0" left="0.25" right="0.25" top="0.75"/>
  <pageSetup fitToWidth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3.86"/>
    <col customWidth="1" min="2" max="2" width="15.71"/>
    <col customWidth="1" min="3" max="3" width="14.57"/>
    <col customWidth="1" min="4" max="4" width="20.71"/>
    <col customWidth="1" min="5" max="5" width="23.86"/>
    <col customWidth="1" min="6" max="6" width="10.71"/>
    <col customWidth="1" min="7" max="7" width="13.29"/>
    <col customWidth="1" min="8" max="8" width="18.14"/>
    <col customWidth="1" min="9" max="9" width="12.29"/>
    <col customWidth="1" min="10" max="10" width="12.71"/>
    <col customWidth="1" min="11" max="11" width="14.29"/>
    <col customWidth="1" min="12" max="12" width="9.71"/>
    <col customWidth="1" min="13" max="26" width="10.71"/>
  </cols>
  <sheetData>
    <row r="1" ht="20.25" customHeight="1">
      <c r="A1" s="3" t="s">
        <v>0</v>
      </c>
      <c r="H1" s="6"/>
      <c r="I1" s="6"/>
      <c r="J1" s="6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3.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9"/>
      <c r="L2" s="19"/>
    </row>
    <row r="3" ht="21.75" customHeight="1">
      <c r="A3" s="7" t="s">
        <v>4</v>
      </c>
      <c r="B3" s="8" t="s">
        <v>5</v>
      </c>
      <c r="C3" s="10" t="s">
        <v>6</v>
      </c>
      <c r="D3" s="11" t="s">
        <v>7</v>
      </c>
      <c r="E3" s="12"/>
      <c r="F3" s="7"/>
      <c r="G3" s="7" t="s">
        <v>13</v>
      </c>
      <c r="H3" s="7"/>
      <c r="I3" s="16" t="s">
        <v>9</v>
      </c>
      <c r="J3" s="12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0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5" ht="18.0" customHeight="1">
      <c r="A5" s="7" t="s">
        <v>10</v>
      </c>
      <c r="B5" s="16" t="s">
        <v>11</v>
      </c>
      <c r="C5" s="17"/>
      <c r="D5" s="12"/>
      <c r="E5" s="19"/>
      <c r="F5" s="19"/>
      <c r="G5" s="7" t="s">
        <v>12</v>
      </c>
      <c r="H5" s="19"/>
      <c r="I5" s="20">
        <v>46115.0</v>
      </c>
      <c r="J5" s="12"/>
      <c r="K5" s="19"/>
      <c r="L5" s="19"/>
    </row>
    <row r="6" ht="12.75" customHeight="1">
      <c r="A6" s="19"/>
      <c r="B6" s="19"/>
      <c r="C6" s="19"/>
      <c r="D6" s="19"/>
      <c r="E6" s="19"/>
      <c r="F6" s="19"/>
      <c r="G6" s="10"/>
      <c r="H6" s="10"/>
      <c r="I6" s="10"/>
      <c r="J6" s="10"/>
      <c r="K6" s="10"/>
      <c r="L6" s="10"/>
    </row>
    <row r="7" ht="15.0" customHeight="1">
      <c r="A7" s="34"/>
      <c r="B7" s="34"/>
      <c r="C7" s="36"/>
      <c r="D7" s="36"/>
      <c r="E7" s="39"/>
      <c r="F7" s="40"/>
      <c r="G7" s="42" t="s">
        <v>26</v>
      </c>
      <c r="H7" s="17"/>
      <c r="I7" s="17"/>
      <c r="J7" s="17"/>
      <c r="K7" s="17"/>
      <c r="L7" s="12"/>
    </row>
    <row r="8" ht="14.25" customHeight="1">
      <c r="A8" s="45" t="s">
        <v>29</v>
      </c>
      <c r="B8" s="47" t="s">
        <v>31</v>
      </c>
      <c r="C8" s="25"/>
      <c r="D8" s="45" t="s">
        <v>35</v>
      </c>
      <c r="E8" s="45" t="s">
        <v>36</v>
      </c>
      <c r="F8" s="45" t="s">
        <v>40</v>
      </c>
      <c r="G8" s="42" t="s">
        <v>43</v>
      </c>
      <c r="H8" s="12"/>
      <c r="I8" s="45" t="s">
        <v>44</v>
      </c>
      <c r="J8" s="42" t="s">
        <v>45</v>
      </c>
      <c r="K8" s="12"/>
      <c r="L8" s="45" t="s">
        <v>44</v>
      </c>
    </row>
    <row r="9">
      <c r="A9" s="50"/>
      <c r="B9" s="27"/>
      <c r="C9" s="29"/>
      <c r="D9" s="50"/>
      <c r="E9" s="50"/>
      <c r="F9" s="50"/>
      <c r="G9" s="52" t="s">
        <v>50</v>
      </c>
      <c r="H9" s="52" t="s">
        <v>52</v>
      </c>
      <c r="I9" s="50"/>
      <c r="J9" s="52" t="s">
        <v>50</v>
      </c>
      <c r="K9" s="52" t="s">
        <v>52</v>
      </c>
      <c r="L9" s="50"/>
    </row>
    <row r="10" ht="22.5" customHeight="1">
      <c r="A10" s="55" t="s">
        <v>53</v>
      </c>
      <c r="B10" s="57" t="s">
        <v>55</v>
      </c>
      <c r="C10" s="12"/>
      <c r="D10" s="59" t="s">
        <v>57</v>
      </c>
      <c r="E10" s="61" t="s">
        <v>58</v>
      </c>
      <c r="F10" s="62">
        <v>778.0</v>
      </c>
      <c r="G10" s="59">
        <v>236.0</v>
      </c>
      <c r="H10" s="62">
        <f>(778)*0.4</f>
        <v>311.2</v>
      </c>
      <c r="I10" s="59" t="s">
        <v>61</v>
      </c>
      <c r="J10" s="65">
        <v>519.0</v>
      </c>
      <c r="K10" s="65">
        <v>466.8</v>
      </c>
      <c r="L10" s="65" t="s">
        <v>61</v>
      </c>
    </row>
    <row r="11" ht="22.5" customHeight="1">
      <c r="A11" s="66"/>
      <c r="B11" s="57" t="s">
        <v>62</v>
      </c>
      <c r="C11" s="12"/>
      <c r="D11" s="59" t="s">
        <v>64</v>
      </c>
      <c r="E11" s="61" t="s">
        <v>65</v>
      </c>
      <c r="F11" s="67">
        <v>15.0</v>
      </c>
      <c r="G11" s="59">
        <v>14.0</v>
      </c>
      <c r="H11" s="67">
        <v>15.0</v>
      </c>
      <c r="I11" s="59" t="s">
        <v>61</v>
      </c>
      <c r="J11" s="65">
        <v>14.0</v>
      </c>
      <c r="K11" s="65">
        <v>15.0</v>
      </c>
      <c r="L11" s="65" t="s">
        <v>61</v>
      </c>
    </row>
    <row r="12" ht="22.5" customHeight="1">
      <c r="A12" s="66"/>
      <c r="B12" s="57" t="s">
        <v>66</v>
      </c>
      <c r="C12" s="12"/>
      <c r="D12" s="59" t="s">
        <v>67</v>
      </c>
      <c r="E12" s="61" t="s">
        <v>65</v>
      </c>
      <c r="F12" s="67">
        <f>F10*F11</f>
        <v>11670</v>
      </c>
      <c r="G12" s="70">
        <v>6637.3</v>
      </c>
      <c r="H12" s="67">
        <f>H10*H11</f>
        <v>4668</v>
      </c>
      <c r="I12" s="70" t="s">
        <v>61</v>
      </c>
      <c r="J12" s="70">
        <v>19975.0</v>
      </c>
      <c r="K12" s="73">
        <v>7002.0</v>
      </c>
      <c r="L12" s="65" t="s">
        <v>61</v>
      </c>
    </row>
    <row r="13" ht="39.0" customHeight="1">
      <c r="A13" s="50"/>
      <c r="B13" s="57" t="s">
        <v>62</v>
      </c>
      <c r="C13" s="12"/>
      <c r="D13" s="59" t="s">
        <v>64</v>
      </c>
      <c r="E13" s="61" t="s">
        <v>65</v>
      </c>
      <c r="F13" s="67">
        <v>24.6</v>
      </c>
      <c r="G13" s="59">
        <v>28.17</v>
      </c>
      <c r="H13" s="67">
        <v>25.8</v>
      </c>
      <c r="I13" s="70" t="s">
        <v>61</v>
      </c>
      <c r="J13" s="70">
        <v>28.0</v>
      </c>
      <c r="K13" s="67">
        <v>25.8</v>
      </c>
      <c r="L13" s="65" t="s">
        <v>61</v>
      </c>
    </row>
    <row r="14" ht="37.5" customHeight="1">
      <c r="A14" s="74" t="s">
        <v>70</v>
      </c>
      <c r="B14" s="75" t="s">
        <v>72</v>
      </c>
      <c r="C14" s="12"/>
      <c r="D14" s="76" t="s">
        <v>72</v>
      </c>
      <c r="E14" s="77" t="s">
        <v>73</v>
      </c>
      <c r="F14" s="67">
        <v>120.0</v>
      </c>
      <c r="G14" s="78">
        <f>F14</f>
        <v>120</v>
      </c>
      <c r="H14" s="67">
        <v>120.0</v>
      </c>
      <c r="I14" s="79" t="s">
        <v>61</v>
      </c>
      <c r="J14" s="78">
        <v>120.0</v>
      </c>
      <c r="K14" s="78">
        <v>120.0</v>
      </c>
      <c r="L14" s="80" t="s">
        <v>61</v>
      </c>
    </row>
    <row r="15">
      <c r="A15" s="66"/>
      <c r="B15" s="75" t="s">
        <v>75</v>
      </c>
      <c r="C15" s="12"/>
      <c r="D15" s="76" t="s">
        <v>75</v>
      </c>
      <c r="E15" s="77" t="s">
        <v>73</v>
      </c>
      <c r="F15" s="67">
        <v>0.08</v>
      </c>
      <c r="G15" s="81" t="s">
        <v>76</v>
      </c>
      <c r="H15" s="67">
        <v>0.09</v>
      </c>
      <c r="I15" s="79" t="s">
        <v>61</v>
      </c>
      <c r="J15" s="78">
        <v>0.09</v>
      </c>
      <c r="K15" s="78">
        <v>0.09</v>
      </c>
      <c r="L15" s="80" t="s">
        <v>61</v>
      </c>
    </row>
    <row r="16" ht="21.0" customHeight="1">
      <c r="A16" s="50"/>
      <c r="B16" s="75" t="s">
        <v>77</v>
      </c>
      <c r="C16" s="12"/>
      <c r="D16" s="76" t="s">
        <v>78</v>
      </c>
      <c r="E16" s="77" t="s">
        <v>73</v>
      </c>
      <c r="F16" s="82">
        <v>0.04</v>
      </c>
      <c r="G16" s="83">
        <v>0.04</v>
      </c>
      <c r="H16" s="82">
        <v>0.04</v>
      </c>
      <c r="I16" s="79" t="s">
        <v>61</v>
      </c>
      <c r="J16" s="84">
        <v>0.039</v>
      </c>
      <c r="K16" s="83">
        <v>0.04</v>
      </c>
      <c r="L16" s="80" t="s">
        <v>61</v>
      </c>
    </row>
    <row r="17" ht="15.75" customHeight="1">
      <c r="A17" s="74" t="s">
        <v>80</v>
      </c>
      <c r="B17" s="75" t="s">
        <v>81</v>
      </c>
      <c r="C17" s="12"/>
      <c r="D17" s="85" t="s">
        <v>82</v>
      </c>
      <c r="E17" s="77" t="s">
        <v>73</v>
      </c>
      <c r="F17" s="86">
        <v>318.0</v>
      </c>
      <c r="G17" s="87">
        <v>271.0</v>
      </c>
      <c r="H17" s="86">
        <v>271.0</v>
      </c>
      <c r="I17" s="79" t="s">
        <v>61</v>
      </c>
      <c r="J17" s="79">
        <v>270.0</v>
      </c>
      <c r="K17" s="79">
        <v>271.0</v>
      </c>
      <c r="L17" s="80" t="s">
        <v>61</v>
      </c>
    </row>
    <row r="18" ht="15.75" customHeight="1">
      <c r="A18" s="66"/>
      <c r="B18" s="75" t="s">
        <v>84</v>
      </c>
      <c r="C18" s="12"/>
      <c r="D18" s="85" t="s">
        <v>85</v>
      </c>
      <c r="E18" s="77" t="s">
        <v>73</v>
      </c>
      <c r="F18" s="88">
        <v>19.118</v>
      </c>
      <c r="G18" s="79">
        <v>9.0</v>
      </c>
      <c r="H18" s="85">
        <v>8.028</v>
      </c>
      <c r="I18" s="79" t="s">
        <v>61</v>
      </c>
      <c r="J18" s="79">
        <v>14.0</v>
      </c>
      <c r="K18" s="79">
        <v>14.0</v>
      </c>
      <c r="L18" s="80" t="s">
        <v>61</v>
      </c>
    </row>
    <row r="19" ht="15.75" customHeight="1">
      <c r="A19" s="50"/>
      <c r="B19" s="75" t="s">
        <v>88</v>
      </c>
      <c r="C19" s="12"/>
      <c r="D19" s="85" t="s">
        <v>89</v>
      </c>
      <c r="E19" s="89" t="s">
        <v>58</v>
      </c>
      <c r="F19" s="88">
        <v>267.946</v>
      </c>
      <c r="G19" s="90">
        <v>92924.0</v>
      </c>
      <c r="H19" s="85">
        <v>112.405</v>
      </c>
      <c r="I19" s="85" t="s">
        <v>61</v>
      </c>
      <c r="J19" s="78">
        <v>203476.0</v>
      </c>
      <c r="K19" s="78">
        <v>168608.16</v>
      </c>
      <c r="L19" s="80" t="s">
        <v>61</v>
      </c>
    </row>
    <row r="20" ht="15.75" customHeight="1">
      <c r="A20" s="85" t="s">
        <v>92</v>
      </c>
      <c r="B20" s="75" t="s">
        <v>93</v>
      </c>
      <c r="C20" s="12"/>
      <c r="D20" s="85" t="s">
        <v>94</v>
      </c>
      <c r="E20" s="89" t="s">
        <v>58</v>
      </c>
      <c r="F20" s="85">
        <v>374.0</v>
      </c>
      <c r="G20" s="80">
        <v>185.0</v>
      </c>
      <c r="H20" s="85">
        <v>185.0</v>
      </c>
      <c r="I20" s="85" t="s">
        <v>61</v>
      </c>
      <c r="J20" s="80">
        <v>185.0</v>
      </c>
      <c r="K20" s="80">
        <v>185.0</v>
      </c>
      <c r="L20" s="80" t="s">
        <v>61</v>
      </c>
    </row>
    <row r="21" ht="15.75" customHeight="1">
      <c r="A21" s="85" t="s">
        <v>95</v>
      </c>
      <c r="B21" s="93" t="s">
        <v>96</v>
      </c>
      <c r="C21" s="12"/>
      <c r="D21" s="85" t="s">
        <v>98</v>
      </c>
      <c r="E21" s="89" t="s">
        <v>58</v>
      </c>
      <c r="F21" s="83">
        <v>0.35</v>
      </c>
      <c r="G21" s="83">
        <v>0.0</v>
      </c>
      <c r="H21" s="83">
        <v>0.5</v>
      </c>
      <c r="I21" s="90"/>
      <c r="J21" s="83">
        <v>0.0</v>
      </c>
      <c r="K21" s="83">
        <v>0.5</v>
      </c>
      <c r="L21" s="8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E8:E9"/>
    <mergeCell ref="F8:F9"/>
    <mergeCell ref="G8:H8"/>
    <mergeCell ref="I8:I9"/>
    <mergeCell ref="J8:K8"/>
    <mergeCell ref="L8:L9"/>
    <mergeCell ref="A1:G1"/>
    <mergeCell ref="D3:E3"/>
    <mergeCell ref="I3:J3"/>
    <mergeCell ref="B5:D5"/>
    <mergeCell ref="I5:J5"/>
    <mergeCell ref="G7:L7"/>
    <mergeCell ref="A8:A9"/>
    <mergeCell ref="B13:C13"/>
    <mergeCell ref="B14:C14"/>
    <mergeCell ref="B15:C15"/>
    <mergeCell ref="B16:C16"/>
    <mergeCell ref="A17:A19"/>
    <mergeCell ref="B17:C17"/>
    <mergeCell ref="B18:C18"/>
    <mergeCell ref="B19:C19"/>
    <mergeCell ref="B20:C20"/>
    <mergeCell ref="B21:C21"/>
    <mergeCell ref="B8:C9"/>
    <mergeCell ref="D8:D9"/>
    <mergeCell ref="A10:A13"/>
    <mergeCell ref="B10:C10"/>
    <mergeCell ref="B11:C11"/>
    <mergeCell ref="B12:C12"/>
    <mergeCell ref="A14:A16"/>
  </mergeCells>
  <printOptions/>
  <pageMargins bottom="0.15748031496062992" footer="0.0" header="0.0" left="0.11811023622047245" right="0.11811023622047245" top="0.5511811023622047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5.29"/>
    <col customWidth="1" min="3" max="3" width="13.86"/>
    <col customWidth="1" min="4" max="4" width="11.43"/>
    <col customWidth="1" min="5" max="5" width="12.86"/>
    <col customWidth="1" min="6" max="6" width="11.57"/>
    <col customWidth="1" min="7" max="7" width="10.71"/>
    <col customWidth="1" min="8" max="8" width="12.57"/>
    <col customWidth="1" min="9" max="9" width="16.86"/>
    <col customWidth="1" min="10" max="10" width="13.71"/>
    <col customWidth="1" min="11" max="26" width="10.71"/>
  </cols>
  <sheetData>
    <row r="1">
      <c r="A1" s="1" t="s">
        <v>3</v>
      </c>
      <c r="B1" s="1"/>
      <c r="C1" s="1"/>
      <c r="D1" s="1"/>
      <c r="E1" s="1"/>
      <c r="F1" s="1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8.25" customHeight="1">
      <c r="A2" s="13"/>
      <c r="B2" s="14"/>
      <c r="C2" s="14"/>
      <c r="D2" s="14"/>
      <c r="E2" s="14"/>
      <c r="F2" s="14"/>
      <c r="G2" s="1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75" customHeight="1">
      <c r="A3" s="18" t="s">
        <v>4</v>
      </c>
      <c r="B3" s="8" t="s">
        <v>5</v>
      </c>
      <c r="C3" s="10" t="s">
        <v>6</v>
      </c>
      <c r="D3" s="11" t="s">
        <v>7</v>
      </c>
      <c r="E3" s="12"/>
      <c r="F3" s="7"/>
      <c r="G3" s="7" t="s">
        <v>13</v>
      </c>
      <c r="H3" s="7"/>
      <c r="I3" s="16" t="s">
        <v>9</v>
      </c>
      <c r="J3" s="12"/>
      <c r="K3" s="10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6.5" customHeight="1">
      <c r="A5" s="18" t="s">
        <v>10</v>
      </c>
      <c r="B5" s="16" t="s">
        <v>11</v>
      </c>
      <c r="C5" s="17"/>
      <c r="D5" s="12"/>
      <c r="E5" s="4"/>
      <c r="F5" s="4"/>
      <c r="G5" s="7" t="s">
        <v>12</v>
      </c>
      <c r="H5" s="7"/>
      <c r="I5" s="20">
        <v>46115.0</v>
      </c>
      <c r="J5" s="12"/>
      <c r="K5" s="10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1.25" customHeight="1">
      <c r="A6" s="13"/>
      <c r="B6" s="31"/>
      <c r="C6" s="31"/>
      <c r="D6" s="31"/>
      <c r="E6" s="31"/>
      <c r="F6" s="31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7.25" customHeight="1">
      <c r="A7" s="35" t="s">
        <v>24</v>
      </c>
      <c r="B7" s="28"/>
      <c r="C7" s="28"/>
      <c r="D7" s="38"/>
      <c r="E7" s="38"/>
      <c r="F7" s="38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6" t="s">
        <v>28</v>
      </c>
      <c r="B8" s="46" t="s">
        <v>32</v>
      </c>
      <c r="C8" s="16" t="s">
        <v>33</v>
      </c>
      <c r="D8" s="17"/>
      <c r="E8" s="12"/>
      <c r="F8" s="16" t="s">
        <v>34</v>
      </c>
      <c r="G8" s="17"/>
      <c r="H8" s="12"/>
      <c r="I8" s="46" t="s">
        <v>37</v>
      </c>
      <c r="J8" s="46" t="s">
        <v>39</v>
      </c>
      <c r="K8" s="46" t="s">
        <v>41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1.5" customHeight="1">
      <c r="A9" s="50"/>
      <c r="B9" s="50"/>
      <c r="C9" s="51" t="s">
        <v>46</v>
      </c>
      <c r="D9" s="51" t="s">
        <v>48</v>
      </c>
      <c r="E9" s="51" t="s">
        <v>49</v>
      </c>
      <c r="F9" s="51" t="s">
        <v>46</v>
      </c>
      <c r="G9" s="51" t="s">
        <v>48</v>
      </c>
      <c r="H9" s="51" t="s">
        <v>49</v>
      </c>
      <c r="I9" s="50"/>
      <c r="J9" s="50"/>
      <c r="K9" s="50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ht="28.5" customHeight="1">
      <c r="A10" s="56" t="s">
        <v>54</v>
      </c>
      <c r="B10" s="58" t="s">
        <v>56</v>
      </c>
      <c r="C10" s="60">
        <v>432.0</v>
      </c>
      <c r="D10" s="60">
        <v>432.0</v>
      </c>
      <c r="E10" s="63">
        <v>1.0</v>
      </c>
      <c r="F10" s="60">
        <v>0.0</v>
      </c>
      <c r="G10" s="60">
        <v>0.0</v>
      </c>
      <c r="H10" s="63">
        <v>0.0</v>
      </c>
      <c r="I10" s="60">
        <v>432.0</v>
      </c>
      <c r="J10" s="60">
        <v>432.0</v>
      </c>
      <c r="K10" s="64">
        <v>1.0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1.5" customHeight="1">
      <c r="A11" s="56" t="s">
        <v>59</v>
      </c>
      <c r="B11" s="58" t="s">
        <v>60</v>
      </c>
      <c r="C11" s="60">
        <v>4320.0</v>
      </c>
      <c r="D11" s="60">
        <v>4320.0</v>
      </c>
      <c r="E11" s="63">
        <v>1.0</v>
      </c>
      <c r="F11" s="60">
        <v>0.0</v>
      </c>
      <c r="G11" s="60">
        <v>0.0</v>
      </c>
      <c r="H11" s="63">
        <v>0.0</v>
      </c>
      <c r="I11" s="60">
        <v>4320.0</v>
      </c>
      <c r="J11" s="60">
        <v>4320.0</v>
      </c>
      <c r="K11" s="64">
        <v>1.0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3.25" customHeight="1">
      <c r="A12" s="56" t="s">
        <v>63</v>
      </c>
      <c r="B12" s="58" t="s">
        <v>60</v>
      </c>
      <c r="C12" s="60">
        <v>27.0</v>
      </c>
      <c r="D12" s="60">
        <v>27.0</v>
      </c>
      <c r="E12" s="63">
        <v>1.0</v>
      </c>
      <c r="F12" s="60">
        <v>0.0</v>
      </c>
      <c r="G12" s="60">
        <v>0.0</v>
      </c>
      <c r="H12" s="63">
        <v>0.0</v>
      </c>
      <c r="I12" s="60">
        <v>27.0</v>
      </c>
      <c r="J12" s="60">
        <v>27.0</v>
      </c>
      <c r="K12" s="64">
        <v>1.0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3.25" customHeight="1">
      <c r="A13" s="68" t="s">
        <v>68</v>
      </c>
      <c r="B13" s="58" t="s">
        <v>60</v>
      </c>
      <c r="C13" s="69">
        <v>0.0</v>
      </c>
      <c r="D13" s="60">
        <v>0.0</v>
      </c>
      <c r="E13" s="63">
        <v>0.0</v>
      </c>
      <c r="F13" s="69">
        <v>432.0</v>
      </c>
      <c r="G13" s="69">
        <v>432.0</v>
      </c>
      <c r="H13" s="71">
        <v>1.0</v>
      </c>
      <c r="I13" s="69">
        <v>432.0</v>
      </c>
      <c r="J13" s="69">
        <v>432.0</v>
      </c>
      <c r="K13" s="72">
        <v>1.0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3.25" customHeight="1">
      <c r="A14" s="68" t="s">
        <v>69</v>
      </c>
      <c r="B14" s="58" t="s">
        <v>67</v>
      </c>
      <c r="C14" s="69">
        <v>0.0</v>
      </c>
      <c r="D14" s="60">
        <v>0.0</v>
      </c>
      <c r="E14" s="63">
        <v>0.0</v>
      </c>
      <c r="F14" s="69">
        <v>250.0</v>
      </c>
      <c r="G14" s="69">
        <v>250.0</v>
      </c>
      <c r="H14" s="71">
        <v>1.0</v>
      </c>
      <c r="I14" s="69">
        <v>250.0</v>
      </c>
      <c r="J14" s="69">
        <v>250.0</v>
      </c>
      <c r="K14" s="72">
        <v>1.0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3.25" customHeight="1">
      <c r="A15" s="56" t="s">
        <v>71</v>
      </c>
      <c r="B15" s="58" t="s">
        <v>60</v>
      </c>
      <c r="C15" s="60">
        <v>108.0</v>
      </c>
      <c r="D15" s="60">
        <v>0.0</v>
      </c>
      <c r="E15" s="63">
        <v>0.0</v>
      </c>
      <c r="F15" s="60">
        <v>0.0</v>
      </c>
      <c r="G15" s="60">
        <v>0.0</v>
      </c>
      <c r="H15" s="63">
        <v>0.0</v>
      </c>
      <c r="I15" s="60">
        <v>108.0</v>
      </c>
      <c r="J15" s="58">
        <v>0.0</v>
      </c>
      <c r="K15" s="64">
        <v>0.0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3.25" customHeight="1">
      <c r="A16" s="56" t="s">
        <v>74</v>
      </c>
      <c r="B16" s="58" t="s">
        <v>67</v>
      </c>
      <c r="C16" s="60">
        <v>1350.0</v>
      </c>
      <c r="D16" s="60">
        <v>0.0</v>
      </c>
      <c r="E16" s="63">
        <v>0.0</v>
      </c>
      <c r="F16" s="60">
        <v>0.0</v>
      </c>
      <c r="G16" s="69">
        <v>0.0</v>
      </c>
      <c r="H16" s="63">
        <v>0.0</v>
      </c>
      <c r="I16" s="60">
        <v>1350.0</v>
      </c>
      <c r="J16" s="58">
        <v>0.0</v>
      </c>
      <c r="K16" s="64">
        <v>0.0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3.25" customHeight="1">
      <c r="A17" s="56" t="s">
        <v>79</v>
      </c>
      <c r="B17" s="58" t="s">
        <v>67</v>
      </c>
      <c r="C17" s="60">
        <v>108.0</v>
      </c>
      <c r="D17" s="60">
        <v>0.0</v>
      </c>
      <c r="E17" s="63">
        <v>0.0</v>
      </c>
      <c r="F17" s="69">
        <v>0.0</v>
      </c>
      <c r="G17" s="69">
        <v>0.0</v>
      </c>
      <c r="H17" s="71">
        <v>0.0</v>
      </c>
      <c r="I17" s="60">
        <v>108.0</v>
      </c>
      <c r="J17" s="58">
        <v>0.0</v>
      </c>
      <c r="K17" s="64">
        <v>0.0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3.25" customHeight="1">
      <c r="A18" s="56" t="s">
        <v>83</v>
      </c>
      <c r="B18" s="58" t="s">
        <v>60</v>
      </c>
      <c r="C18" s="60">
        <v>13.5</v>
      </c>
      <c r="D18" s="60">
        <v>0.0</v>
      </c>
      <c r="E18" s="63">
        <v>0.0</v>
      </c>
      <c r="F18" s="60">
        <v>0.0</v>
      </c>
      <c r="G18" s="60">
        <v>0.0</v>
      </c>
      <c r="H18" s="63">
        <v>0.0</v>
      </c>
      <c r="I18" s="60">
        <v>13.5</v>
      </c>
      <c r="J18" s="58">
        <v>0.0</v>
      </c>
      <c r="K18" s="64">
        <v>0.0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3.25" customHeight="1">
      <c r="A19" s="56" t="s">
        <v>86</v>
      </c>
      <c r="B19" s="58" t="s">
        <v>87</v>
      </c>
      <c r="C19" s="60">
        <v>27.0</v>
      </c>
      <c r="D19" s="60">
        <v>0.0</v>
      </c>
      <c r="E19" s="63">
        <v>0.0</v>
      </c>
      <c r="F19" s="69">
        <v>0.0</v>
      </c>
      <c r="G19" s="69">
        <v>27.0</v>
      </c>
      <c r="H19" s="71">
        <v>1.0</v>
      </c>
      <c r="I19" s="60">
        <v>27.0</v>
      </c>
      <c r="J19" s="60">
        <v>27.0</v>
      </c>
      <c r="K19" s="72">
        <v>1.0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3.25" customHeight="1">
      <c r="A20" s="56" t="s">
        <v>90</v>
      </c>
      <c r="B20" s="58" t="s">
        <v>91</v>
      </c>
      <c r="C20" s="60">
        <v>1080.0</v>
      </c>
      <c r="D20" s="60">
        <v>0.0</v>
      </c>
      <c r="E20" s="63">
        <v>0.0</v>
      </c>
      <c r="F20" s="60">
        <v>0.0</v>
      </c>
      <c r="G20" s="60">
        <v>0.0</v>
      </c>
      <c r="H20" s="63">
        <v>0.0</v>
      </c>
      <c r="I20" s="60">
        <v>1080.0</v>
      </c>
      <c r="J20" s="58">
        <v>0.0</v>
      </c>
      <c r="K20" s="64">
        <v>0.0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35"/>
      <c r="B21" s="35"/>
      <c r="C21" s="35"/>
      <c r="D21" s="91"/>
      <c r="E21" s="91"/>
      <c r="F21" s="91"/>
      <c r="G21" s="92"/>
      <c r="H21" s="92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35" t="s">
        <v>97</v>
      </c>
      <c r="B22" s="28"/>
      <c r="C22" s="28"/>
      <c r="D22" s="91"/>
      <c r="E22" s="91"/>
      <c r="F22" s="91"/>
      <c r="G22" s="92"/>
      <c r="H22" s="92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6" t="s">
        <v>28</v>
      </c>
      <c r="B23" s="46" t="s">
        <v>32</v>
      </c>
      <c r="C23" s="94" t="s">
        <v>33</v>
      </c>
      <c r="D23" s="17"/>
      <c r="E23" s="12"/>
      <c r="F23" s="94" t="s">
        <v>34</v>
      </c>
      <c r="G23" s="17"/>
      <c r="H23" s="12"/>
      <c r="I23" s="46" t="s">
        <v>37</v>
      </c>
      <c r="J23" s="46" t="s">
        <v>39</v>
      </c>
      <c r="K23" s="46" t="s">
        <v>41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0"/>
      <c r="B24" s="50"/>
      <c r="C24" s="95" t="s">
        <v>46</v>
      </c>
      <c r="D24" s="95" t="s">
        <v>48</v>
      </c>
      <c r="E24" s="95" t="s">
        <v>49</v>
      </c>
      <c r="F24" s="95" t="s">
        <v>46</v>
      </c>
      <c r="G24" s="95" t="s">
        <v>48</v>
      </c>
      <c r="H24" s="95" t="s">
        <v>49</v>
      </c>
      <c r="I24" s="50"/>
      <c r="J24" s="50"/>
      <c r="K24" s="50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0.0" customHeight="1">
      <c r="A25" s="56" t="s">
        <v>99</v>
      </c>
      <c r="B25" s="96" t="s">
        <v>100</v>
      </c>
      <c r="C25" s="97">
        <v>6.0</v>
      </c>
      <c r="D25" s="69">
        <v>2.0</v>
      </c>
      <c r="E25" s="98">
        <f t="shared" ref="E25:E26" si="1">IF(C25=0,0,D25/C25)</f>
        <v>0.3333333333</v>
      </c>
      <c r="F25" s="60">
        <v>6.0</v>
      </c>
      <c r="G25" s="100">
        <v>0.0</v>
      </c>
      <c r="H25" s="98">
        <f t="shared" ref="H25:H26" si="2">IF(F25=0,0,G25/F25)</f>
        <v>0</v>
      </c>
      <c r="I25" s="96">
        <v>12.0</v>
      </c>
      <c r="J25" s="96">
        <f>+D25+G25</f>
        <v>2</v>
      </c>
      <c r="K25" s="72">
        <v>0.166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9.25" customHeight="1">
      <c r="A26" s="56" t="s">
        <v>101</v>
      </c>
      <c r="B26" s="103" t="s">
        <v>103</v>
      </c>
      <c r="C26" s="97">
        <v>1.0</v>
      </c>
      <c r="D26" s="105">
        <v>1.0</v>
      </c>
      <c r="E26" s="98">
        <f t="shared" si="1"/>
        <v>1</v>
      </c>
      <c r="F26" s="60">
        <v>0.0</v>
      </c>
      <c r="G26" s="100">
        <v>0.0</v>
      </c>
      <c r="H26" s="98">
        <f t="shared" si="2"/>
        <v>0</v>
      </c>
      <c r="I26" s="96">
        <f>+C26+F26</f>
        <v>1</v>
      </c>
      <c r="J26" s="96">
        <v>1.0</v>
      </c>
      <c r="K26" s="64">
        <v>1.0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08"/>
      <c r="B27" s="109"/>
      <c r="C27" s="31"/>
      <c r="D27" s="31"/>
      <c r="E27" s="98"/>
      <c r="F27" s="31"/>
    </row>
    <row r="28" ht="15.75" customHeight="1">
      <c r="A28" s="108"/>
      <c r="B28" s="109"/>
      <c r="C28" s="31"/>
      <c r="D28" s="31"/>
      <c r="E28" s="31"/>
      <c r="F28" s="31"/>
    </row>
    <row r="29" ht="15.75" customHeight="1">
      <c r="A29" s="108"/>
      <c r="B29" s="109"/>
      <c r="C29" s="31"/>
      <c r="D29" s="31"/>
      <c r="E29" s="31"/>
      <c r="F29" s="31"/>
    </row>
    <row r="30" ht="15.75" customHeight="1">
      <c r="A30" s="108"/>
      <c r="B30" s="109"/>
      <c r="C30" s="31"/>
      <c r="D30" s="31"/>
      <c r="E30" s="31"/>
      <c r="F30" s="31"/>
    </row>
    <row r="31" ht="15.75" customHeight="1">
      <c r="A31" s="108"/>
      <c r="B31" s="109"/>
      <c r="C31" s="31"/>
      <c r="D31" s="31"/>
      <c r="E31" s="31"/>
      <c r="F31" s="31"/>
    </row>
    <row r="32" ht="15.75" customHeight="1">
      <c r="A32" s="108"/>
      <c r="B32" s="109"/>
      <c r="C32" s="31"/>
      <c r="D32" s="31"/>
      <c r="E32" s="31"/>
      <c r="F32" s="31"/>
    </row>
    <row r="33" ht="15.75" customHeight="1">
      <c r="A33" s="108"/>
      <c r="B33" s="109"/>
      <c r="C33" s="31"/>
      <c r="D33" s="31"/>
      <c r="E33" s="31"/>
      <c r="F33" s="31"/>
    </row>
    <row r="34" ht="15.75" customHeight="1">
      <c r="A34" s="108"/>
      <c r="B34" s="109"/>
      <c r="C34" s="31"/>
      <c r="D34" s="31"/>
      <c r="E34" s="31"/>
      <c r="F34" s="31"/>
    </row>
    <row r="35" ht="15.75" customHeight="1">
      <c r="A35" s="108"/>
      <c r="B35" s="109"/>
      <c r="C35" s="31"/>
      <c r="D35" s="31"/>
      <c r="E35" s="31"/>
      <c r="F35" s="31"/>
    </row>
    <row r="36" ht="15.75" customHeight="1">
      <c r="A36" s="108"/>
      <c r="B36" s="109"/>
      <c r="C36" s="31"/>
      <c r="D36" s="31"/>
      <c r="E36" s="31"/>
      <c r="F36" s="31"/>
    </row>
    <row r="37" ht="15.75" customHeight="1">
      <c r="A37" s="108"/>
      <c r="B37" s="109"/>
      <c r="C37" s="31"/>
      <c r="D37" s="31"/>
      <c r="E37" s="31"/>
      <c r="F37" s="31"/>
    </row>
    <row r="38" ht="15.75" customHeight="1">
      <c r="A38" s="108"/>
      <c r="B38" s="109"/>
      <c r="C38" s="31"/>
      <c r="D38" s="31"/>
      <c r="E38" s="31"/>
      <c r="F38" s="31"/>
    </row>
    <row r="39" ht="15.75" customHeight="1">
      <c r="A39" s="108"/>
      <c r="B39" s="109"/>
      <c r="C39" s="31"/>
      <c r="D39" s="31"/>
      <c r="E39" s="31"/>
      <c r="F39" s="31"/>
    </row>
    <row r="40" ht="15.75" customHeight="1">
      <c r="A40" s="108"/>
      <c r="B40" s="109"/>
      <c r="C40" s="31"/>
      <c r="D40" s="31"/>
      <c r="E40" s="31"/>
      <c r="F40" s="31"/>
    </row>
    <row r="41" ht="15.75" customHeight="1">
      <c r="A41" s="108"/>
      <c r="B41" s="109"/>
      <c r="C41" s="31"/>
      <c r="D41" s="31"/>
      <c r="E41" s="31"/>
      <c r="F41" s="31"/>
    </row>
    <row r="42" ht="15.75" customHeight="1">
      <c r="A42" s="108"/>
      <c r="B42" s="109"/>
      <c r="C42" s="31"/>
      <c r="D42" s="31"/>
      <c r="E42" s="31"/>
      <c r="F42" s="31"/>
    </row>
    <row r="43" ht="15.75" customHeight="1">
      <c r="A43" s="108"/>
      <c r="B43" s="109"/>
      <c r="C43" s="31"/>
      <c r="D43" s="31"/>
      <c r="E43" s="31"/>
      <c r="F43" s="31"/>
    </row>
    <row r="44" ht="15.75" customHeight="1">
      <c r="A44" s="108"/>
      <c r="B44" s="109"/>
      <c r="C44" s="31"/>
      <c r="D44" s="31"/>
      <c r="E44" s="31"/>
      <c r="F44" s="31"/>
    </row>
    <row r="45" ht="15.75" customHeight="1">
      <c r="A45" s="108"/>
      <c r="B45" s="109"/>
      <c r="C45" s="31"/>
      <c r="D45" s="31"/>
      <c r="E45" s="31"/>
      <c r="F45" s="31"/>
    </row>
    <row r="46" ht="15.75" customHeight="1">
      <c r="A46" s="108"/>
      <c r="B46" s="109"/>
      <c r="C46" s="31"/>
      <c r="D46" s="31"/>
      <c r="E46" s="31"/>
      <c r="F46" s="31"/>
    </row>
    <row r="47" ht="15.75" customHeight="1">
      <c r="A47" s="108"/>
      <c r="B47" s="109"/>
      <c r="C47" s="31"/>
      <c r="D47" s="31"/>
      <c r="E47" s="31"/>
      <c r="F47" s="31"/>
    </row>
    <row r="48" ht="15.75" customHeight="1">
      <c r="A48" s="108"/>
      <c r="B48" s="109"/>
      <c r="C48" s="31"/>
      <c r="D48" s="31"/>
      <c r="E48" s="31"/>
      <c r="F48" s="31"/>
    </row>
    <row r="49" ht="15.75" customHeight="1">
      <c r="A49" s="108"/>
      <c r="B49" s="109"/>
      <c r="C49" s="31"/>
      <c r="D49" s="31"/>
      <c r="E49" s="31"/>
      <c r="F49" s="31"/>
    </row>
    <row r="50" ht="15.75" customHeight="1">
      <c r="A50" s="108"/>
      <c r="B50" s="109"/>
      <c r="C50" s="31"/>
      <c r="D50" s="31"/>
      <c r="E50" s="31"/>
      <c r="F50" s="31"/>
    </row>
    <row r="51" ht="15.75" customHeight="1">
      <c r="A51" s="108"/>
      <c r="B51" s="109"/>
      <c r="C51" s="31"/>
      <c r="D51" s="31"/>
      <c r="E51" s="31"/>
      <c r="F51" s="31"/>
    </row>
    <row r="52" ht="15.75" customHeight="1">
      <c r="A52" s="108"/>
      <c r="B52" s="109"/>
      <c r="C52" s="31"/>
      <c r="D52" s="31"/>
      <c r="E52" s="31"/>
      <c r="F52" s="31"/>
    </row>
    <row r="53" ht="15.75" customHeight="1">
      <c r="A53" s="108"/>
      <c r="B53" s="109"/>
      <c r="C53" s="31"/>
      <c r="D53" s="31"/>
      <c r="E53" s="31"/>
      <c r="F53" s="31"/>
    </row>
    <row r="54" ht="15.75" customHeight="1">
      <c r="A54" s="108"/>
      <c r="B54" s="109"/>
      <c r="C54" s="31"/>
      <c r="D54" s="31"/>
      <c r="E54" s="31"/>
      <c r="F54" s="31"/>
    </row>
    <row r="55" ht="15.75" customHeight="1">
      <c r="A55" s="108"/>
      <c r="B55" s="109"/>
      <c r="C55" s="31"/>
      <c r="D55" s="31"/>
      <c r="E55" s="31"/>
      <c r="F55" s="31"/>
    </row>
    <row r="56" ht="15.75" customHeight="1">
      <c r="A56" s="108"/>
      <c r="B56" s="109"/>
      <c r="C56" s="31"/>
      <c r="D56" s="31"/>
      <c r="E56" s="31"/>
      <c r="F56" s="31"/>
    </row>
    <row r="57" ht="15.75" customHeight="1">
      <c r="A57" s="108"/>
      <c r="B57" s="109"/>
      <c r="C57" s="31"/>
      <c r="D57" s="31"/>
      <c r="E57" s="31"/>
      <c r="F57" s="31"/>
    </row>
    <row r="58" ht="15.75" customHeight="1">
      <c r="A58" s="108"/>
      <c r="B58" s="109"/>
      <c r="C58" s="31"/>
      <c r="D58" s="31"/>
      <c r="E58" s="31"/>
      <c r="F58" s="31"/>
    </row>
    <row r="59" ht="15.75" customHeight="1">
      <c r="A59" s="108"/>
      <c r="B59" s="109"/>
      <c r="C59" s="31"/>
      <c r="D59" s="31"/>
      <c r="E59" s="31"/>
      <c r="F59" s="31"/>
    </row>
    <row r="60" ht="15.75" customHeight="1">
      <c r="A60" s="108"/>
      <c r="B60" s="109"/>
      <c r="C60" s="31"/>
      <c r="D60" s="31"/>
      <c r="E60" s="31"/>
      <c r="F60" s="31"/>
    </row>
    <row r="61" ht="15.75" customHeight="1">
      <c r="A61" s="108"/>
      <c r="B61" s="109"/>
      <c r="C61" s="31"/>
      <c r="D61" s="31"/>
      <c r="E61" s="31"/>
      <c r="F61" s="31"/>
    </row>
    <row r="62" ht="15.75" customHeight="1">
      <c r="A62" s="108"/>
      <c r="B62" s="109"/>
      <c r="C62" s="31"/>
      <c r="D62" s="31"/>
      <c r="E62" s="31"/>
      <c r="F62" s="31"/>
    </row>
    <row r="63" ht="15.75" customHeight="1">
      <c r="A63" s="108"/>
      <c r="B63" s="109"/>
      <c r="C63" s="31"/>
      <c r="D63" s="31"/>
      <c r="E63" s="31"/>
      <c r="F63" s="31"/>
    </row>
    <row r="64" ht="15.75" customHeight="1">
      <c r="A64" s="108"/>
      <c r="B64" s="109"/>
      <c r="C64" s="31"/>
      <c r="D64" s="31"/>
      <c r="E64" s="31"/>
      <c r="F64" s="31"/>
    </row>
    <row r="65" ht="15.75" customHeight="1">
      <c r="A65" s="108"/>
      <c r="B65" s="109"/>
      <c r="C65" s="31"/>
      <c r="D65" s="31"/>
      <c r="E65" s="31"/>
      <c r="F65" s="31"/>
    </row>
    <row r="66" ht="15.75" customHeight="1">
      <c r="A66" s="108"/>
      <c r="B66" s="109"/>
      <c r="C66" s="31"/>
      <c r="D66" s="31"/>
      <c r="E66" s="31"/>
      <c r="F66" s="31"/>
    </row>
    <row r="67" ht="15.75" customHeight="1">
      <c r="A67" s="108"/>
      <c r="B67" s="109"/>
      <c r="C67" s="31"/>
      <c r="D67" s="31"/>
      <c r="E67" s="31"/>
      <c r="F67" s="31"/>
    </row>
    <row r="68" ht="15.75" customHeight="1">
      <c r="A68" s="108"/>
      <c r="B68" s="109"/>
      <c r="C68" s="31"/>
      <c r="D68" s="31"/>
      <c r="E68" s="31"/>
      <c r="F68" s="31"/>
    </row>
    <row r="69" ht="15.75" customHeight="1">
      <c r="A69" s="108"/>
      <c r="B69" s="109"/>
      <c r="C69" s="31"/>
      <c r="D69" s="31"/>
      <c r="E69" s="31"/>
      <c r="F69" s="31"/>
    </row>
    <row r="70" ht="15.75" customHeight="1">
      <c r="A70" s="108"/>
      <c r="B70" s="109"/>
      <c r="C70" s="31"/>
      <c r="D70" s="31"/>
      <c r="E70" s="31"/>
      <c r="F70" s="31"/>
    </row>
    <row r="71" ht="15.75" customHeight="1">
      <c r="A71" s="108"/>
      <c r="B71" s="109"/>
      <c r="C71" s="31"/>
      <c r="D71" s="31"/>
      <c r="E71" s="31"/>
      <c r="F71" s="31"/>
    </row>
    <row r="72" ht="15.75" customHeight="1">
      <c r="A72" s="108"/>
      <c r="B72" s="109"/>
      <c r="C72" s="31"/>
      <c r="D72" s="31"/>
      <c r="E72" s="31"/>
      <c r="F72" s="31"/>
    </row>
    <row r="73" ht="15.75" customHeight="1">
      <c r="A73" s="108"/>
      <c r="B73" s="109"/>
      <c r="C73" s="31"/>
      <c r="D73" s="31"/>
      <c r="E73" s="31"/>
      <c r="F73" s="31"/>
    </row>
    <row r="74" ht="15.75" customHeight="1">
      <c r="A74" s="108"/>
      <c r="B74" s="109"/>
      <c r="C74" s="31"/>
      <c r="D74" s="31"/>
      <c r="E74" s="31"/>
      <c r="F74" s="31"/>
    </row>
    <row r="75" ht="15.75" customHeight="1">
      <c r="A75" s="108"/>
      <c r="B75" s="109"/>
      <c r="C75" s="31"/>
      <c r="D75" s="31"/>
      <c r="E75" s="31"/>
      <c r="F75" s="31"/>
    </row>
    <row r="76" ht="15.75" customHeight="1">
      <c r="A76" s="108"/>
      <c r="B76" s="109"/>
      <c r="C76" s="31"/>
      <c r="D76" s="31"/>
      <c r="E76" s="31"/>
      <c r="F76" s="31"/>
    </row>
    <row r="77" ht="15.75" customHeight="1">
      <c r="A77" s="108"/>
      <c r="B77" s="109"/>
      <c r="C77" s="31"/>
      <c r="D77" s="31"/>
      <c r="E77" s="31"/>
      <c r="F77" s="31"/>
    </row>
    <row r="78" ht="15.75" customHeight="1">
      <c r="A78" s="108"/>
      <c r="B78" s="109"/>
      <c r="C78" s="31"/>
      <c r="D78" s="31"/>
      <c r="E78" s="31"/>
      <c r="F78" s="31"/>
    </row>
    <row r="79" ht="15.75" customHeight="1">
      <c r="A79" s="108"/>
      <c r="B79" s="109"/>
      <c r="C79" s="31"/>
      <c r="D79" s="31"/>
      <c r="E79" s="31"/>
      <c r="F79" s="31"/>
    </row>
    <row r="80" ht="15.75" customHeight="1">
      <c r="A80" s="108"/>
      <c r="B80" s="109"/>
      <c r="C80" s="31"/>
      <c r="D80" s="31"/>
      <c r="E80" s="31"/>
      <c r="F80" s="31"/>
    </row>
    <row r="81" ht="15.75" customHeight="1">
      <c r="A81" s="108"/>
      <c r="B81" s="109"/>
      <c r="C81" s="31"/>
      <c r="D81" s="31"/>
      <c r="E81" s="31"/>
      <c r="F81" s="31"/>
    </row>
    <row r="82" ht="15.75" customHeight="1">
      <c r="A82" s="108"/>
      <c r="B82" s="109"/>
      <c r="C82" s="31"/>
      <c r="D82" s="31"/>
      <c r="E82" s="31"/>
      <c r="F82" s="31"/>
    </row>
    <row r="83" ht="15.75" customHeight="1">
      <c r="A83" s="108"/>
      <c r="B83" s="109"/>
      <c r="C83" s="31"/>
      <c r="D83" s="31"/>
      <c r="E83" s="31"/>
      <c r="F83" s="31"/>
    </row>
    <row r="84" ht="15.75" customHeight="1">
      <c r="A84" s="108"/>
      <c r="B84" s="109"/>
      <c r="C84" s="31"/>
      <c r="D84" s="31"/>
      <c r="E84" s="31"/>
      <c r="F84" s="31"/>
    </row>
    <row r="85" ht="15.75" customHeight="1">
      <c r="A85" s="108"/>
      <c r="B85" s="109"/>
      <c r="C85" s="31"/>
      <c r="D85" s="31"/>
      <c r="E85" s="31"/>
      <c r="F85" s="31"/>
    </row>
    <row r="86" ht="15.75" customHeight="1">
      <c r="A86" s="108"/>
      <c r="B86" s="109"/>
      <c r="C86" s="31"/>
      <c r="D86" s="31"/>
      <c r="E86" s="31"/>
      <c r="F86" s="31"/>
    </row>
    <row r="87" ht="15.75" customHeight="1">
      <c r="A87" s="108"/>
      <c r="B87" s="109"/>
      <c r="C87" s="31"/>
      <c r="D87" s="31"/>
      <c r="E87" s="31"/>
      <c r="F87" s="31"/>
    </row>
    <row r="88" ht="15.75" customHeight="1">
      <c r="A88" s="108"/>
      <c r="B88" s="109"/>
      <c r="C88" s="31"/>
      <c r="D88" s="31"/>
      <c r="E88" s="31"/>
      <c r="F88" s="31"/>
    </row>
    <row r="89" ht="15.75" customHeight="1">
      <c r="A89" s="108"/>
      <c r="B89" s="109"/>
      <c r="C89" s="31"/>
      <c r="D89" s="31"/>
      <c r="E89" s="31"/>
      <c r="F89" s="31"/>
    </row>
    <row r="90" ht="15.75" customHeight="1">
      <c r="A90" s="108"/>
      <c r="B90" s="109"/>
      <c r="C90" s="31"/>
      <c r="D90" s="31"/>
      <c r="E90" s="31"/>
      <c r="F90" s="31"/>
    </row>
    <row r="91" ht="15.75" customHeight="1">
      <c r="A91" s="108"/>
      <c r="B91" s="109"/>
      <c r="C91" s="31"/>
      <c r="D91" s="31"/>
      <c r="E91" s="31"/>
      <c r="F91" s="31"/>
    </row>
    <row r="92" ht="15.75" customHeight="1">
      <c r="A92" s="108"/>
      <c r="B92" s="109"/>
      <c r="C92" s="31"/>
      <c r="D92" s="31"/>
      <c r="E92" s="31"/>
      <c r="F92" s="31"/>
    </row>
    <row r="93" ht="15.75" customHeight="1">
      <c r="A93" s="108"/>
      <c r="B93" s="109"/>
      <c r="C93" s="31"/>
      <c r="D93" s="31"/>
      <c r="E93" s="31"/>
      <c r="F93" s="31"/>
    </row>
    <row r="94" ht="15.75" customHeight="1">
      <c r="A94" s="108"/>
      <c r="B94" s="109"/>
      <c r="C94" s="31"/>
      <c r="D94" s="31"/>
      <c r="E94" s="31"/>
      <c r="F94" s="31"/>
    </row>
    <row r="95" ht="15.75" customHeight="1">
      <c r="A95" s="108"/>
      <c r="B95" s="109"/>
      <c r="C95" s="31"/>
      <c r="D95" s="31"/>
      <c r="E95" s="31"/>
      <c r="F95" s="31"/>
    </row>
    <row r="96" ht="15.75" customHeight="1">
      <c r="A96" s="108"/>
      <c r="B96" s="109"/>
      <c r="C96" s="31"/>
      <c r="D96" s="31"/>
      <c r="E96" s="31"/>
      <c r="F96" s="31"/>
    </row>
    <row r="97" ht="15.75" customHeight="1">
      <c r="A97" s="108"/>
      <c r="B97" s="109"/>
      <c r="C97" s="31"/>
      <c r="D97" s="31"/>
      <c r="E97" s="31"/>
      <c r="F97" s="31"/>
    </row>
    <row r="98" ht="15.75" customHeight="1">
      <c r="A98" s="108"/>
      <c r="B98" s="109"/>
      <c r="C98" s="31"/>
      <c r="D98" s="31"/>
      <c r="E98" s="31"/>
      <c r="F98" s="31"/>
    </row>
    <row r="99" ht="15.75" customHeight="1">
      <c r="A99" s="108"/>
      <c r="B99" s="109"/>
      <c r="C99" s="31"/>
      <c r="D99" s="31"/>
      <c r="E99" s="31"/>
      <c r="F99" s="31"/>
    </row>
    <row r="100" ht="15.75" customHeight="1">
      <c r="A100" s="108"/>
      <c r="B100" s="109"/>
      <c r="C100" s="31"/>
      <c r="D100" s="31"/>
      <c r="E100" s="31"/>
      <c r="F100" s="31"/>
    </row>
    <row r="101" ht="15.75" customHeight="1">
      <c r="A101" s="108"/>
      <c r="B101" s="109"/>
      <c r="C101" s="31"/>
      <c r="D101" s="31"/>
      <c r="E101" s="31"/>
      <c r="F101" s="31"/>
    </row>
    <row r="102" ht="15.75" customHeight="1">
      <c r="A102" s="108"/>
      <c r="B102" s="109"/>
      <c r="C102" s="31"/>
      <c r="D102" s="31"/>
      <c r="E102" s="31"/>
      <c r="F102" s="31"/>
    </row>
    <row r="103" ht="15.75" customHeight="1">
      <c r="A103" s="108"/>
      <c r="B103" s="109"/>
      <c r="C103" s="31"/>
      <c r="D103" s="31"/>
      <c r="E103" s="31"/>
      <c r="F103" s="31"/>
    </row>
    <row r="104" ht="15.75" customHeight="1">
      <c r="A104" s="108"/>
      <c r="B104" s="109"/>
      <c r="C104" s="31"/>
      <c r="D104" s="31"/>
      <c r="E104" s="31"/>
      <c r="F104" s="31"/>
    </row>
    <row r="105" ht="15.75" customHeight="1">
      <c r="A105" s="108"/>
      <c r="B105" s="109"/>
      <c r="C105" s="31"/>
      <c r="D105" s="31"/>
      <c r="E105" s="31"/>
      <c r="F105" s="31"/>
    </row>
    <row r="106" ht="15.75" customHeight="1">
      <c r="A106" s="108"/>
      <c r="B106" s="109"/>
      <c r="C106" s="31"/>
      <c r="D106" s="31"/>
      <c r="E106" s="31"/>
      <c r="F106" s="31"/>
    </row>
    <row r="107" ht="15.75" customHeight="1">
      <c r="A107" s="108"/>
      <c r="B107" s="109"/>
      <c r="C107" s="31"/>
      <c r="D107" s="31"/>
      <c r="E107" s="31"/>
      <c r="F107" s="31"/>
    </row>
    <row r="108" ht="15.75" customHeight="1">
      <c r="A108" s="108"/>
      <c r="B108" s="109"/>
      <c r="C108" s="31"/>
      <c r="D108" s="31"/>
      <c r="E108" s="31"/>
      <c r="F108" s="31"/>
    </row>
    <row r="109" ht="15.75" customHeight="1">
      <c r="A109" s="108"/>
      <c r="B109" s="109"/>
      <c r="C109" s="31"/>
      <c r="D109" s="31"/>
      <c r="E109" s="31"/>
      <c r="F109" s="31"/>
    </row>
    <row r="110" ht="15.75" customHeight="1">
      <c r="A110" s="108"/>
      <c r="B110" s="109"/>
      <c r="C110" s="31"/>
      <c r="D110" s="31"/>
      <c r="E110" s="31"/>
      <c r="F110" s="31"/>
    </row>
    <row r="111" ht="15.75" customHeight="1">
      <c r="A111" s="108"/>
      <c r="B111" s="109"/>
      <c r="C111" s="31"/>
      <c r="D111" s="31"/>
      <c r="E111" s="31"/>
      <c r="F111" s="31"/>
    </row>
    <row r="112" ht="15.75" customHeight="1">
      <c r="A112" s="108"/>
      <c r="B112" s="109"/>
      <c r="C112" s="31"/>
      <c r="D112" s="31"/>
      <c r="E112" s="31"/>
      <c r="F112" s="31"/>
    </row>
    <row r="113" ht="15.75" customHeight="1">
      <c r="A113" s="108"/>
      <c r="B113" s="109"/>
      <c r="C113" s="31"/>
      <c r="D113" s="31"/>
      <c r="E113" s="31"/>
      <c r="F113" s="31"/>
    </row>
    <row r="114" ht="15.75" customHeight="1">
      <c r="A114" s="108"/>
      <c r="B114" s="109"/>
      <c r="C114" s="31"/>
      <c r="D114" s="31"/>
      <c r="E114" s="31"/>
      <c r="F114" s="31"/>
    </row>
    <row r="115" ht="15.75" customHeight="1">
      <c r="A115" s="108"/>
      <c r="B115" s="109"/>
      <c r="C115" s="31"/>
      <c r="D115" s="31"/>
      <c r="E115" s="31"/>
      <c r="F115" s="31"/>
    </row>
    <row r="116" ht="15.75" customHeight="1">
      <c r="A116" s="108"/>
      <c r="B116" s="109"/>
      <c r="C116" s="31"/>
      <c r="D116" s="31"/>
      <c r="E116" s="31"/>
      <c r="F116" s="31"/>
    </row>
    <row r="117" ht="15.75" customHeight="1">
      <c r="A117" s="108"/>
      <c r="B117" s="109"/>
      <c r="C117" s="31"/>
      <c r="D117" s="31"/>
      <c r="E117" s="31"/>
      <c r="F117" s="31"/>
    </row>
    <row r="118" ht="15.75" customHeight="1">
      <c r="A118" s="108"/>
      <c r="B118" s="109"/>
      <c r="C118" s="31"/>
      <c r="D118" s="31"/>
      <c r="E118" s="31"/>
      <c r="F118" s="31"/>
    </row>
    <row r="119" ht="15.75" customHeight="1">
      <c r="A119" s="108"/>
      <c r="B119" s="109"/>
      <c r="C119" s="31"/>
      <c r="D119" s="31"/>
      <c r="E119" s="31"/>
      <c r="F119" s="31"/>
    </row>
    <row r="120" ht="15.75" customHeight="1">
      <c r="A120" s="108"/>
      <c r="B120" s="109"/>
      <c r="C120" s="31"/>
      <c r="D120" s="31"/>
      <c r="E120" s="31"/>
      <c r="F120" s="31"/>
    </row>
    <row r="121" ht="15.75" customHeight="1">
      <c r="A121" s="108"/>
      <c r="B121" s="109"/>
      <c r="C121" s="31"/>
      <c r="D121" s="31"/>
      <c r="E121" s="31"/>
      <c r="F121" s="31"/>
    </row>
    <row r="122" ht="15.75" customHeight="1">
      <c r="A122" s="108"/>
      <c r="B122" s="109"/>
      <c r="C122" s="31"/>
      <c r="D122" s="31"/>
      <c r="E122" s="31"/>
      <c r="F122" s="31"/>
    </row>
    <row r="123" ht="15.75" customHeight="1">
      <c r="A123" s="108"/>
      <c r="B123" s="109"/>
      <c r="C123" s="31"/>
      <c r="D123" s="31"/>
      <c r="E123" s="31"/>
      <c r="F123" s="31"/>
    </row>
    <row r="124" ht="15.75" customHeight="1">
      <c r="A124" s="108"/>
      <c r="B124" s="109"/>
      <c r="C124" s="31"/>
      <c r="D124" s="31"/>
      <c r="E124" s="31"/>
      <c r="F124" s="31"/>
    </row>
    <row r="125" ht="15.75" customHeight="1">
      <c r="A125" s="108"/>
      <c r="B125" s="109"/>
      <c r="C125" s="31"/>
      <c r="D125" s="31"/>
      <c r="E125" s="31"/>
      <c r="F125" s="31"/>
    </row>
    <row r="126" ht="15.75" customHeight="1">
      <c r="A126" s="108"/>
      <c r="B126" s="109"/>
      <c r="C126" s="31"/>
      <c r="D126" s="31"/>
      <c r="E126" s="31"/>
      <c r="F126" s="31"/>
    </row>
    <row r="127" ht="15.75" customHeight="1">
      <c r="A127" s="108"/>
      <c r="B127" s="109"/>
      <c r="C127" s="31"/>
      <c r="D127" s="31"/>
      <c r="E127" s="31"/>
      <c r="F127" s="31"/>
    </row>
    <row r="128" ht="15.75" customHeight="1">
      <c r="A128" s="108"/>
      <c r="B128" s="109"/>
      <c r="C128" s="31"/>
      <c r="D128" s="31"/>
      <c r="E128" s="31"/>
      <c r="F128" s="31"/>
    </row>
    <row r="129" ht="15.75" customHeight="1">
      <c r="A129" s="108"/>
      <c r="B129" s="109"/>
      <c r="C129" s="31"/>
      <c r="D129" s="31"/>
      <c r="E129" s="31"/>
      <c r="F129" s="31"/>
    </row>
    <row r="130" ht="15.75" customHeight="1">
      <c r="A130" s="108"/>
      <c r="B130" s="109"/>
      <c r="C130" s="31"/>
      <c r="D130" s="31"/>
      <c r="E130" s="31"/>
      <c r="F130" s="31"/>
    </row>
    <row r="131" ht="15.75" customHeight="1">
      <c r="A131" s="108"/>
      <c r="B131" s="109"/>
      <c r="C131" s="31"/>
      <c r="D131" s="31"/>
      <c r="E131" s="31"/>
      <c r="F131" s="31"/>
    </row>
    <row r="132" ht="15.75" customHeight="1">
      <c r="A132" s="108"/>
      <c r="B132" s="109"/>
      <c r="C132" s="31"/>
      <c r="D132" s="31"/>
      <c r="E132" s="31"/>
      <c r="F132" s="31"/>
    </row>
    <row r="133" ht="15.75" customHeight="1">
      <c r="A133" s="108"/>
      <c r="B133" s="109"/>
      <c r="C133" s="31"/>
      <c r="D133" s="31"/>
      <c r="E133" s="31"/>
      <c r="F133" s="31"/>
    </row>
    <row r="134" ht="15.75" customHeight="1">
      <c r="A134" s="108"/>
      <c r="B134" s="109"/>
      <c r="C134" s="31"/>
      <c r="D134" s="31"/>
      <c r="E134" s="31"/>
      <c r="F134" s="31"/>
    </row>
    <row r="135" ht="15.75" customHeight="1">
      <c r="A135" s="108"/>
      <c r="B135" s="109"/>
      <c r="C135" s="31"/>
      <c r="D135" s="31"/>
      <c r="E135" s="31"/>
      <c r="F135" s="31"/>
    </row>
    <row r="136" ht="15.75" customHeight="1">
      <c r="A136" s="108"/>
      <c r="B136" s="109"/>
      <c r="C136" s="31"/>
      <c r="D136" s="31"/>
      <c r="E136" s="31"/>
      <c r="F136" s="31"/>
    </row>
    <row r="137" ht="15.75" customHeight="1">
      <c r="A137" s="108"/>
      <c r="B137" s="109"/>
      <c r="C137" s="31"/>
      <c r="D137" s="31"/>
      <c r="E137" s="31"/>
      <c r="F137" s="31"/>
    </row>
    <row r="138" ht="15.75" customHeight="1">
      <c r="A138" s="108"/>
      <c r="B138" s="109"/>
      <c r="C138" s="31"/>
      <c r="D138" s="31"/>
      <c r="E138" s="31"/>
      <c r="F138" s="31"/>
    </row>
    <row r="139" ht="15.75" customHeight="1">
      <c r="A139" s="108"/>
      <c r="B139" s="109"/>
      <c r="C139" s="31"/>
      <c r="D139" s="31"/>
      <c r="E139" s="31"/>
      <c r="F139" s="31"/>
    </row>
    <row r="140" ht="15.75" customHeight="1">
      <c r="A140" s="108"/>
      <c r="B140" s="109"/>
      <c r="C140" s="31"/>
      <c r="D140" s="31"/>
      <c r="E140" s="31"/>
      <c r="F140" s="31"/>
    </row>
    <row r="141" ht="15.75" customHeight="1">
      <c r="A141" s="108"/>
      <c r="B141" s="109"/>
      <c r="C141" s="31"/>
      <c r="D141" s="31"/>
      <c r="E141" s="31"/>
      <c r="F141" s="31"/>
    </row>
    <row r="142" ht="15.75" customHeight="1">
      <c r="A142" s="108"/>
      <c r="B142" s="109"/>
      <c r="C142" s="31"/>
      <c r="D142" s="31"/>
      <c r="E142" s="31"/>
      <c r="F142" s="31"/>
    </row>
    <row r="143" ht="15.75" customHeight="1">
      <c r="A143" s="108"/>
      <c r="B143" s="109"/>
      <c r="C143" s="31"/>
      <c r="D143" s="31"/>
      <c r="E143" s="31"/>
      <c r="F143" s="31"/>
    </row>
    <row r="144" ht="15.75" customHeight="1">
      <c r="A144" s="108"/>
      <c r="B144" s="109"/>
      <c r="C144" s="31"/>
      <c r="D144" s="31"/>
      <c r="E144" s="31"/>
      <c r="F144" s="31"/>
    </row>
    <row r="145" ht="15.75" customHeight="1">
      <c r="A145" s="108"/>
      <c r="B145" s="109"/>
      <c r="C145" s="31"/>
      <c r="D145" s="31"/>
      <c r="E145" s="31"/>
      <c r="F145" s="31"/>
    </row>
    <row r="146" ht="15.75" customHeight="1">
      <c r="A146" s="108"/>
      <c r="B146" s="109"/>
      <c r="C146" s="31"/>
      <c r="D146" s="31"/>
      <c r="E146" s="31"/>
      <c r="F146" s="31"/>
    </row>
    <row r="147" ht="15.75" customHeight="1">
      <c r="A147" s="108"/>
      <c r="B147" s="109"/>
      <c r="C147" s="31"/>
      <c r="D147" s="31"/>
      <c r="E147" s="31"/>
      <c r="F147" s="31"/>
    </row>
    <row r="148" ht="15.75" customHeight="1">
      <c r="A148" s="108"/>
      <c r="B148" s="109"/>
      <c r="C148" s="31"/>
      <c r="D148" s="31"/>
      <c r="E148" s="31"/>
      <c r="F148" s="31"/>
    </row>
    <row r="149" ht="15.75" customHeight="1">
      <c r="A149" s="108"/>
      <c r="B149" s="109"/>
      <c r="C149" s="31"/>
      <c r="D149" s="31"/>
      <c r="E149" s="31"/>
      <c r="F149" s="31"/>
    </row>
    <row r="150" ht="15.75" customHeight="1">
      <c r="A150" s="108"/>
      <c r="B150" s="109"/>
      <c r="C150" s="31"/>
      <c r="D150" s="31"/>
      <c r="E150" s="31"/>
      <c r="F150" s="31"/>
    </row>
    <row r="151" ht="15.75" customHeight="1">
      <c r="A151" s="108"/>
      <c r="B151" s="109"/>
      <c r="C151" s="31"/>
      <c r="D151" s="31"/>
      <c r="E151" s="31"/>
      <c r="F151" s="31"/>
    </row>
    <row r="152" ht="15.75" customHeight="1">
      <c r="A152" s="108"/>
      <c r="B152" s="109"/>
      <c r="C152" s="31"/>
      <c r="D152" s="31"/>
      <c r="E152" s="31"/>
      <c r="F152" s="31"/>
    </row>
    <row r="153" ht="15.75" customHeight="1">
      <c r="A153" s="108"/>
      <c r="B153" s="109"/>
      <c r="C153" s="31"/>
      <c r="D153" s="31"/>
      <c r="E153" s="31"/>
      <c r="F153" s="31"/>
    </row>
    <row r="154" ht="15.75" customHeight="1">
      <c r="A154" s="108"/>
      <c r="B154" s="109"/>
      <c r="C154" s="31"/>
      <c r="D154" s="31"/>
      <c r="E154" s="31"/>
      <c r="F154" s="31"/>
    </row>
    <row r="155" ht="15.75" customHeight="1">
      <c r="A155" s="108"/>
      <c r="B155" s="109"/>
      <c r="C155" s="31"/>
      <c r="D155" s="31"/>
      <c r="E155" s="31"/>
      <c r="F155" s="31"/>
    </row>
    <row r="156" ht="15.75" customHeight="1">
      <c r="A156" s="108"/>
      <c r="B156" s="109"/>
      <c r="C156" s="31"/>
      <c r="D156" s="31"/>
      <c r="E156" s="31"/>
      <c r="F156" s="31"/>
    </row>
    <row r="157" ht="15.75" customHeight="1">
      <c r="A157" s="108"/>
      <c r="B157" s="109"/>
      <c r="C157" s="31"/>
      <c r="D157" s="31"/>
      <c r="E157" s="31"/>
      <c r="F157" s="31"/>
    </row>
    <row r="158" ht="15.75" customHeight="1">
      <c r="A158" s="108"/>
      <c r="B158" s="109"/>
      <c r="C158" s="31"/>
      <c r="D158" s="31"/>
      <c r="E158" s="31"/>
      <c r="F158" s="31"/>
    </row>
    <row r="159" ht="15.75" customHeight="1">
      <c r="A159" s="108"/>
      <c r="B159" s="109"/>
      <c r="C159" s="31"/>
      <c r="D159" s="31"/>
      <c r="E159" s="31"/>
      <c r="F159" s="31"/>
    </row>
    <row r="160" ht="15.75" customHeight="1">
      <c r="A160" s="108"/>
      <c r="B160" s="109"/>
      <c r="C160" s="31"/>
      <c r="D160" s="31"/>
      <c r="E160" s="31"/>
      <c r="F160" s="31"/>
    </row>
    <row r="161" ht="15.75" customHeight="1">
      <c r="A161" s="108"/>
      <c r="B161" s="109"/>
      <c r="C161" s="31"/>
      <c r="D161" s="31"/>
      <c r="E161" s="31"/>
      <c r="F161" s="31"/>
    </row>
    <row r="162" ht="15.75" customHeight="1">
      <c r="A162" s="108"/>
      <c r="B162" s="109"/>
      <c r="C162" s="31"/>
      <c r="D162" s="31"/>
      <c r="E162" s="31"/>
      <c r="F162" s="31"/>
    </row>
    <row r="163" ht="15.75" customHeight="1">
      <c r="A163" s="108"/>
      <c r="B163" s="109"/>
      <c r="C163" s="31"/>
      <c r="D163" s="31"/>
      <c r="E163" s="31"/>
      <c r="F163" s="31"/>
    </row>
    <row r="164" ht="15.75" customHeight="1">
      <c r="A164" s="108"/>
      <c r="B164" s="109"/>
      <c r="C164" s="31"/>
      <c r="D164" s="31"/>
      <c r="E164" s="31"/>
      <c r="F164" s="31"/>
    </row>
    <row r="165" ht="15.75" customHeight="1">
      <c r="A165" s="108"/>
      <c r="B165" s="109"/>
      <c r="C165" s="31"/>
      <c r="D165" s="31"/>
      <c r="E165" s="31"/>
      <c r="F165" s="31"/>
    </row>
    <row r="166" ht="15.75" customHeight="1">
      <c r="A166" s="108"/>
      <c r="B166" s="109"/>
      <c r="C166" s="31"/>
      <c r="D166" s="31"/>
      <c r="E166" s="31"/>
      <c r="F166" s="31"/>
    </row>
    <row r="167" ht="15.75" customHeight="1">
      <c r="A167" s="108"/>
      <c r="B167" s="109"/>
      <c r="C167" s="31"/>
      <c r="D167" s="31"/>
      <c r="E167" s="31"/>
      <c r="F167" s="31"/>
    </row>
    <row r="168" ht="15.75" customHeight="1">
      <c r="A168" s="108"/>
      <c r="B168" s="109"/>
      <c r="C168" s="31"/>
      <c r="D168" s="31"/>
      <c r="E168" s="31"/>
      <c r="F168" s="31"/>
    </row>
    <row r="169" ht="15.75" customHeight="1">
      <c r="A169" s="108"/>
      <c r="B169" s="109"/>
      <c r="C169" s="31"/>
      <c r="D169" s="31"/>
      <c r="E169" s="31"/>
      <c r="F169" s="31"/>
    </row>
    <row r="170" ht="15.75" customHeight="1">
      <c r="A170" s="108"/>
      <c r="B170" s="109"/>
      <c r="C170" s="31"/>
      <c r="D170" s="31"/>
      <c r="E170" s="31"/>
      <c r="F170" s="31"/>
    </row>
    <row r="171" ht="15.75" customHeight="1">
      <c r="A171" s="108"/>
      <c r="B171" s="109"/>
      <c r="C171" s="31"/>
      <c r="D171" s="31"/>
      <c r="E171" s="31"/>
      <c r="F171" s="31"/>
    </row>
    <row r="172" ht="15.75" customHeight="1">
      <c r="A172" s="108"/>
      <c r="B172" s="109"/>
      <c r="C172" s="31"/>
      <c r="D172" s="31"/>
      <c r="E172" s="31"/>
      <c r="F172" s="31"/>
    </row>
    <row r="173" ht="15.75" customHeight="1">
      <c r="A173" s="108"/>
      <c r="B173" s="109"/>
      <c r="C173" s="31"/>
      <c r="D173" s="31"/>
      <c r="E173" s="31"/>
      <c r="F173" s="31"/>
    </row>
    <row r="174" ht="15.75" customHeight="1">
      <c r="A174" s="108"/>
      <c r="B174" s="109"/>
      <c r="C174" s="31"/>
      <c r="D174" s="31"/>
      <c r="E174" s="31"/>
      <c r="F174" s="31"/>
    </row>
    <row r="175" ht="15.75" customHeight="1">
      <c r="A175" s="108"/>
      <c r="B175" s="109"/>
      <c r="C175" s="31"/>
      <c r="D175" s="31"/>
      <c r="E175" s="31"/>
      <c r="F175" s="31"/>
    </row>
    <row r="176" ht="15.75" customHeight="1">
      <c r="A176" s="108"/>
      <c r="B176" s="109"/>
      <c r="C176" s="31"/>
      <c r="D176" s="31"/>
      <c r="E176" s="31"/>
      <c r="F176" s="31"/>
    </row>
    <row r="177" ht="15.75" customHeight="1">
      <c r="A177" s="108"/>
      <c r="B177" s="109"/>
      <c r="C177" s="31"/>
      <c r="D177" s="31"/>
      <c r="E177" s="31"/>
      <c r="F177" s="31"/>
    </row>
    <row r="178" ht="15.75" customHeight="1">
      <c r="A178" s="108"/>
      <c r="B178" s="109"/>
      <c r="C178" s="31"/>
      <c r="D178" s="31"/>
      <c r="E178" s="31"/>
      <c r="F178" s="31"/>
    </row>
    <row r="179" ht="15.75" customHeight="1">
      <c r="A179" s="108"/>
      <c r="B179" s="109"/>
      <c r="C179" s="31"/>
      <c r="D179" s="31"/>
      <c r="E179" s="31"/>
      <c r="F179" s="31"/>
    </row>
    <row r="180" ht="15.75" customHeight="1">
      <c r="A180" s="108"/>
      <c r="B180" s="109"/>
      <c r="C180" s="31"/>
      <c r="D180" s="31"/>
      <c r="E180" s="31"/>
      <c r="F180" s="31"/>
    </row>
    <row r="181" ht="15.75" customHeight="1">
      <c r="A181" s="108"/>
      <c r="B181" s="109"/>
      <c r="C181" s="31"/>
      <c r="D181" s="31"/>
      <c r="E181" s="31"/>
      <c r="F181" s="31"/>
    </row>
    <row r="182" ht="15.75" customHeight="1">
      <c r="A182" s="108"/>
      <c r="B182" s="109"/>
      <c r="C182" s="31"/>
      <c r="D182" s="31"/>
      <c r="E182" s="31"/>
      <c r="F182" s="31"/>
    </row>
    <row r="183" ht="15.75" customHeight="1">
      <c r="A183" s="108"/>
      <c r="B183" s="109"/>
      <c r="C183" s="31"/>
      <c r="D183" s="31"/>
      <c r="E183" s="31"/>
      <c r="F183" s="31"/>
    </row>
    <row r="184" ht="15.75" customHeight="1">
      <c r="A184" s="108"/>
      <c r="B184" s="109"/>
      <c r="C184" s="31"/>
      <c r="D184" s="31"/>
      <c r="E184" s="31"/>
      <c r="F184" s="31"/>
    </row>
    <row r="185" ht="15.75" customHeight="1">
      <c r="A185" s="108"/>
      <c r="B185" s="109"/>
      <c r="C185" s="31"/>
      <c r="D185" s="31"/>
      <c r="E185" s="31"/>
      <c r="F185" s="31"/>
    </row>
    <row r="186" ht="15.75" customHeight="1">
      <c r="A186" s="108"/>
      <c r="B186" s="109"/>
      <c r="C186" s="31"/>
      <c r="D186" s="31"/>
      <c r="E186" s="31"/>
      <c r="F186" s="31"/>
    </row>
    <row r="187" ht="15.75" customHeight="1">
      <c r="A187" s="108"/>
      <c r="B187" s="109"/>
      <c r="C187" s="31"/>
      <c r="D187" s="31"/>
      <c r="E187" s="31"/>
      <c r="F187" s="31"/>
    </row>
    <row r="188" ht="15.75" customHeight="1">
      <c r="A188" s="108"/>
      <c r="B188" s="109"/>
      <c r="C188" s="31"/>
      <c r="D188" s="31"/>
      <c r="E188" s="31"/>
      <c r="F188" s="31"/>
    </row>
    <row r="189" ht="15.75" customHeight="1">
      <c r="A189" s="108"/>
      <c r="B189" s="109"/>
      <c r="C189" s="31"/>
      <c r="D189" s="31"/>
      <c r="E189" s="31"/>
      <c r="F189" s="31"/>
    </row>
    <row r="190" ht="15.75" customHeight="1">
      <c r="A190" s="108"/>
      <c r="B190" s="109"/>
      <c r="C190" s="31"/>
      <c r="D190" s="31"/>
      <c r="E190" s="31"/>
      <c r="F190" s="31"/>
    </row>
    <row r="191" ht="15.75" customHeight="1">
      <c r="A191" s="108"/>
      <c r="B191" s="109"/>
      <c r="C191" s="31"/>
      <c r="D191" s="31"/>
      <c r="E191" s="31"/>
      <c r="F191" s="31"/>
    </row>
    <row r="192" ht="15.75" customHeight="1">
      <c r="A192" s="108"/>
      <c r="B192" s="109"/>
      <c r="C192" s="31"/>
      <c r="D192" s="31"/>
      <c r="E192" s="31"/>
      <c r="F192" s="31"/>
    </row>
    <row r="193" ht="15.75" customHeight="1">
      <c r="A193" s="108"/>
      <c r="B193" s="109"/>
      <c r="C193" s="31"/>
      <c r="D193" s="31"/>
      <c r="E193" s="31"/>
      <c r="F193" s="31"/>
    </row>
    <row r="194" ht="15.75" customHeight="1">
      <c r="A194" s="108"/>
      <c r="B194" s="109"/>
      <c r="C194" s="31"/>
      <c r="D194" s="31"/>
      <c r="E194" s="31"/>
      <c r="F194" s="31"/>
    </row>
    <row r="195" ht="15.75" customHeight="1">
      <c r="A195" s="108"/>
      <c r="B195" s="109"/>
      <c r="C195" s="31"/>
      <c r="D195" s="31"/>
      <c r="E195" s="31"/>
      <c r="F195" s="31"/>
    </row>
    <row r="196" ht="15.75" customHeight="1">
      <c r="A196" s="108"/>
      <c r="B196" s="109"/>
      <c r="C196" s="31"/>
      <c r="D196" s="31"/>
      <c r="E196" s="31"/>
      <c r="F196" s="31"/>
    </row>
    <row r="197" ht="15.75" customHeight="1">
      <c r="A197" s="108"/>
      <c r="B197" s="109"/>
      <c r="C197" s="31"/>
      <c r="D197" s="31"/>
      <c r="E197" s="31"/>
      <c r="F197" s="31"/>
    </row>
    <row r="198" ht="15.75" customHeight="1">
      <c r="A198" s="108"/>
      <c r="B198" s="109"/>
      <c r="C198" s="31"/>
      <c r="D198" s="31"/>
      <c r="E198" s="31"/>
      <c r="F198" s="31"/>
    </row>
    <row r="199" ht="15.75" customHeight="1">
      <c r="A199" s="108"/>
      <c r="B199" s="109"/>
      <c r="C199" s="31"/>
      <c r="D199" s="31"/>
      <c r="E199" s="31"/>
      <c r="F199" s="31"/>
    </row>
    <row r="200" ht="15.75" customHeight="1">
      <c r="A200" s="108"/>
      <c r="B200" s="109"/>
      <c r="C200" s="31"/>
      <c r="D200" s="31"/>
      <c r="E200" s="31"/>
      <c r="F200" s="31"/>
    </row>
    <row r="201" ht="15.75" customHeight="1">
      <c r="A201" s="108"/>
      <c r="B201" s="109"/>
      <c r="C201" s="31"/>
      <c r="D201" s="31"/>
      <c r="E201" s="31"/>
      <c r="F201" s="31"/>
    </row>
    <row r="202" ht="15.75" customHeight="1">
      <c r="A202" s="108"/>
      <c r="B202" s="109"/>
      <c r="C202" s="31"/>
      <c r="D202" s="31"/>
      <c r="E202" s="31"/>
      <c r="F202" s="31"/>
    </row>
    <row r="203" ht="15.75" customHeight="1">
      <c r="A203" s="108"/>
      <c r="B203" s="109"/>
      <c r="C203" s="31"/>
      <c r="D203" s="31"/>
      <c r="E203" s="31"/>
      <c r="F203" s="31"/>
    </row>
    <row r="204" ht="15.75" customHeight="1">
      <c r="A204" s="108"/>
      <c r="B204" s="109"/>
      <c r="C204" s="31"/>
      <c r="D204" s="31"/>
      <c r="E204" s="31"/>
      <c r="F204" s="31"/>
    </row>
    <row r="205" ht="15.75" customHeight="1">
      <c r="A205" s="108"/>
      <c r="B205" s="109"/>
      <c r="C205" s="31"/>
      <c r="D205" s="31"/>
      <c r="E205" s="31"/>
      <c r="F205" s="31"/>
    </row>
    <row r="206" ht="15.75" customHeight="1">
      <c r="A206" s="108"/>
      <c r="B206" s="109"/>
      <c r="C206" s="31"/>
      <c r="D206" s="31"/>
      <c r="E206" s="31"/>
      <c r="F206" s="31"/>
    </row>
    <row r="207" ht="15.75" customHeight="1">
      <c r="A207" s="108"/>
      <c r="B207" s="109"/>
      <c r="C207" s="31"/>
      <c r="D207" s="31"/>
      <c r="E207" s="31"/>
      <c r="F207" s="31"/>
    </row>
    <row r="208" ht="15.75" customHeight="1">
      <c r="A208" s="108"/>
      <c r="B208" s="109"/>
      <c r="C208" s="31"/>
      <c r="D208" s="31"/>
      <c r="E208" s="31"/>
      <c r="F208" s="31"/>
    </row>
    <row r="209" ht="15.75" customHeight="1">
      <c r="A209" s="108"/>
      <c r="B209" s="109"/>
      <c r="C209" s="31"/>
      <c r="D209" s="31"/>
      <c r="E209" s="31"/>
      <c r="F209" s="31"/>
    </row>
    <row r="210" ht="15.75" customHeight="1">
      <c r="A210" s="108"/>
      <c r="B210" s="109"/>
      <c r="C210" s="31"/>
      <c r="D210" s="31"/>
      <c r="E210" s="31"/>
      <c r="F210" s="31"/>
    </row>
    <row r="211" ht="15.75" customHeight="1">
      <c r="A211" s="108"/>
      <c r="B211" s="109"/>
      <c r="C211" s="31"/>
      <c r="D211" s="31"/>
      <c r="E211" s="31"/>
      <c r="F211" s="31"/>
    </row>
    <row r="212" ht="15.75" customHeight="1">
      <c r="A212" s="108"/>
      <c r="B212" s="109"/>
      <c r="C212" s="31"/>
      <c r="D212" s="31"/>
      <c r="E212" s="31"/>
      <c r="F212" s="31"/>
    </row>
    <row r="213" ht="15.75" customHeight="1">
      <c r="A213" s="108"/>
      <c r="B213" s="109"/>
      <c r="C213" s="31"/>
      <c r="D213" s="31"/>
      <c r="E213" s="31"/>
      <c r="F213" s="31"/>
    </row>
    <row r="214" ht="15.75" customHeight="1">
      <c r="A214" s="108"/>
      <c r="B214" s="109"/>
      <c r="C214" s="31"/>
      <c r="D214" s="31"/>
      <c r="E214" s="31"/>
      <c r="F214" s="31"/>
    </row>
    <row r="215" ht="15.75" customHeight="1">
      <c r="A215" s="108"/>
      <c r="B215" s="109"/>
      <c r="C215" s="31"/>
      <c r="D215" s="31"/>
      <c r="E215" s="31"/>
      <c r="F215" s="31"/>
    </row>
    <row r="216" ht="15.75" customHeight="1">
      <c r="A216" s="108"/>
      <c r="B216" s="109"/>
      <c r="C216" s="31"/>
      <c r="D216" s="31"/>
      <c r="E216" s="31"/>
      <c r="F216" s="31"/>
    </row>
    <row r="217" ht="15.75" customHeight="1">
      <c r="A217" s="108"/>
      <c r="B217" s="109"/>
      <c r="C217" s="31"/>
      <c r="D217" s="31"/>
      <c r="E217" s="31"/>
      <c r="F217" s="31"/>
    </row>
    <row r="218" ht="15.75" customHeight="1">
      <c r="A218" s="108"/>
      <c r="B218" s="109"/>
      <c r="C218" s="31"/>
      <c r="D218" s="31"/>
      <c r="E218" s="31"/>
      <c r="F218" s="31"/>
    </row>
    <row r="219" ht="15.75" customHeight="1">
      <c r="A219" s="108"/>
      <c r="B219" s="109"/>
      <c r="C219" s="31"/>
      <c r="D219" s="31"/>
      <c r="E219" s="31"/>
      <c r="F219" s="31"/>
    </row>
    <row r="220" ht="15.75" customHeight="1">
      <c r="A220" s="108"/>
      <c r="B220" s="109"/>
      <c r="C220" s="31"/>
      <c r="D220" s="31"/>
      <c r="E220" s="31"/>
      <c r="F220" s="31"/>
    </row>
    <row r="221" ht="15.75" customHeight="1">
      <c r="A221" s="108"/>
      <c r="B221" s="109"/>
      <c r="C221" s="31"/>
      <c r="D221" s="31"/>
      <c r="E221" s="31"/>
      <c r="F221" s="31"/>
    </row>
    <row r="222" ht="15.75" customHeight="1">
      <c r="A222" s="108"/>
      <c r="B222" s="109"/>
      <c r="C222" s="31"/>
      <c r="D222" s="31"/>
      <c r="E222" s="31"/>
      <c r="F222" s="31"/>
    </row>
    <row r="223" ht="15.75" customHeight="1">
      <c r="A223" s="108"/>
      <c r="B223" s="109"/>
      <c r="C223" s="31"/>
      <c r="D223" s="31"/>
      <c r="E223" s="31"/>
      <c r="F223" s="31"/>
    </row>
    <row r="224" ht="15.75" customHeight="1">
      <c r="A224" s="108"/>
      <c r="B224" s="109"/>
      <c r="C224" s="31"/>
      <c r="D224" s="31"/>
      <c r="E224" s="31"/>
      <c r="F224" s="31"/>
    </row>
    <row r="225" ht="15.75" customHeight="1">
      <c r="A225" s="108"/>
      <c r="B225" s="109"/>
      <c r="C225" s="31"/>
      <c r="D225" s="31"/>
      <c r="E225" s="31"/>
      <c r="F225" s="31"/>
    </row>
    <row r="226" ht="15.75" customHeight="1">
      <c r="A226" s="108"/>
      <c r="B226" s="109"/>
      <c r="C226" s="31"/>
      <c r="D226" s="31"/>
      <c r="E226" s="31"/>
      <c r="F226" s="31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I8:I9"/>
    <mergeCell ref="J8:J9"/>
    <mergeCell ref="K8:K9"/>
    <mergeCell ref="D3:E3"/>
    <mergeCell ref="I3:J3"/>
    <mergeCell ref="B5:D5"/>
    <mergeCell ref="I5:J5"/>
    <mergeCell ref="A7:C7"/>
    <mergeCell ref="A8:A9"/>
    <mergeCell ref="B8:B9"/>
    <mergeCell ref="I23:I24"/>
    <mergeCell ref="J23:J24"/>
    <mergeCell ref="K23:K24"/>
    <mergeCell ref="C8:E8"/>
    <mergeCell ref="F8:H8"/>
    <mergeCell ref="A22:C22"/>
    <mergeCell ref="A23:A24"/>
    <mergeCell ref="B23:B24"/>
    <mergeCell ref="C23:E23"/>
    <mergeCell ref="F23:H23"/>
  </mergeCells>
  <printOptions/>
  <pageMargins bottom="0.35433070866141736" footer="0.0" header="0.0" left="0.31496062992125984" right="0.11811023622047245" top="0.35433070866141736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9.0"/>
    <col customWidth="1" min="2" max="2" width="25.14"/>
    <col customWidth="1" min="3" max="3" width="13.14"/>
    <col customWidth="1" min="4" max="4" width="7.14"/>
    <col customWidth="1" min="5" max="6" width="13.0"/>
    <col customWidth="1" min="7" max="7" width="14.86"/>
    <col customWidth="1" min="8" max="8" width="17.71"/>
    <col customWidth="1" min="9" max="10" width="10.71"/>
    <col customWidth="1" min="11" max="12" width="13.0"/>
    <col customWidth="1" min="13" max="13" width="13.57"/>
    <col customWidth="1" min="14" max="14" width="11.43"/>
    <col customWidth="1" min="15" max="15" width="11.86"/>
    <col customWidth="1" min="16" max="16" width="12.43"/>
    <col customWidth="1" min="17" max="17" width="11.14"/>
    <col customWidth="1" min="18" max="26" width="10.71"/>
  </cols>
  <sheetData>
    <row r="1">
      <c r="A1" s="99"/>
      <c r="B1" s="101"/>
      <c r="C1" s="99"/>
      <c r="D1" s="99"/>
      <c r="E1" s="99"/>
      <c r="F1" s="102"/>
      <c r="G1" s="99"/>
      <c r="H1" s="99"/>
      <c r="I1" s="99"/>
      <c r="J1" s="99"/>
      <c r="K1" s="99"/>
      <c r="L1" s="99"/>
      <c r="M1" s="99"/>
      <c r="N1" s="99"/>
      <c r="O1" s="102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ht="19.5" customHeight="1">
      <c r="A2" s="1" t="s">
        <v>102</v>
      </c>
      <c r="B2" s="104"/>
      <c r="C2" s="1"/>
      <c r="D2" s="1"/>
      <c r="E2" s="1"/>
      <c r="F2" s="1"/>
      <c r="G2" s="1"/>
      <c r="H2" s="38"/>
      <c r="I2" s="38"/>
      <c r="J2" s="38"/>
      <c r="K2" s="106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t="19.5" customHeight="1">
      <c r="A3" s="38"/>
      <c r="B3" s="107"/>
      <c r="C3" s="14"/>
      <c r="D3" s="14"/>
      <c r="E3" s="14"/>
      <c r="F3" s="14"/>
      <c r="G3" s="14"/>
      <c r="H3" s="14"/>
      <c r="I3" s="14"/>
      <c r="J3" s="38"/>
      <c r="K3" s="38"/>
      <c r="L3" s="38"/>
      <c r="M3" s="38"/>
      <c r="N3" s="38"/>
      <c r="O3" s="102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ht="18.75" customHeight="1">
      <c r="A4" s="7" t="s">
        <v>4</v>
      </c>
      <c r="B4" s="110" t="s">
        <v>5</v>
      </c>
      <c r="C4" s="10" t="s">
        <v>6</v>
      </c>
      <c r="D4" s="11" t="s">
        <v>7</v>
      </c>
      <c r="E4" s="12"/>
      <c r="F4" s="7"/>
      <c r="G4" s="7" t="s">
        <v>13</v>
      </c>
      <c r="H4" s="7"/>
      <c r="I4" s="16" t="s">
        <v>9</v>
      </c>
      <c r="J4" s="12"/>
      <c r="K4" s="10"/>
      <c r="L4" s="38"/>
      <c r="M4" s="38"/>
      <c r="N4" s="38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7.5" customHeight="1">
      <c r="B5" s="111"/>
    </row>
    <row r="6" ht="18.0" customHeight="1">
      <c r="A6" s="7" t="s">
        <v>10</v>
      </c>
      <c r="B6" s="16" t="s">
        <v>11</v>
      </c>
      <c r="C6" s="17"/>
      <c r="D6" s="12"/>
      <c r="G6" s="7" t="s">
        <v>12</v>
      </c>
      <c r="H6" s="7"/>
      <c r="I6" s="20">
        <v>46115.0</v>
      </c>
      <c r="J6" s="12"/>
      <c r="K6" s="10"/>
    </row>
    <row r="7">
      <c r="A7" s="112"/>
      <c r="B7" s="113"/>
      <c r="C7" s="112"/>
      <c r="D7" s="112"/>
      <c r="E7" s="112"/>
      <c r="F7" s="38"/>
      <c r="G7" s="112"/>
      <c r="H7" s="112"/>
      <c r="I7" s="112"/>
      <c r="J7" s="112"/>
      <c r="K7" s="112"/>
      <c r="L7" s="112"/>
      <c r="M7" s="112"/>
      <c r="N7" s="112"/>
      <c r="O7" s="38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 ht="21.75" customHeight="1">
      <c r="A8" s="114"/>
      <c r="B8" s="115"/>
      <c r="C8" s="116"/>
      <c r="D8" s="117" t="s">
        <v>104</v>
      </c>
      <c r="E8" s="17"/>
      <c r="F8" s="12"/>
      <c r="G8" s="117" t="s">
        <v>105</v>
      </c>
      <c r="H8" s="17"/>
      <c r="I8" s="17"/>
      <c r="J8" s="12"/>
      <c r="K8" s="117" t="s">
        <v>106</v>
      </c>
      <c r="L8" s="17"/>
      <c r="M8" s="12"/>
      <c r="N8" s="118"/>
      <c r="O8" s="119"/>
      <c r="P8" s="116"/>
      <c r="Q8" s="116"/>
      <c r="R8" s="114"/>
      <c r="S8" s="114"/>
      <c r="T8" s="114"/>
      <c r="U8" s="114"/>
      <c r="V8" s="114"/>
      <c r="W8" s="114"/>
      <c r="X8" s="114"/>
      <c r="Y8" s="114"/>
      <c r="Z8" s="114"/>
    </row>
    <row r="9" ht="15.0" customHeight="1">
      <c r="A9" s="120" t="s">
        <v>107</v>
      </c>
      <c r="B9" s="46" t="s">
        <v>108</v>
      </c>
      <c r="C9" s="46" t="s">
        <v>32</v>
      </c>
      <c r="D9" s="46" t="s">
        <v>109</v>
      </c>
      <c r="E9" s="46" t="s">
        <v>110</v>
      </c>
      <c r="F9" s="46" t="s">
        <v>111</v>
      </c>
      <c r="G9" s="46" t="s">
        <v>112</v>
      </c>
      <c r="H9" s="46" t="s">
        <v>113</v>
      </c>
      <c r="I9" s="46" t="s">
        <v>114</v>
      </c>
      <c r="J9" s="46" t="s">
        <v>115</v>
      </c>
      <c r="K9" s="46" t="s">
        <v>116</v>
      </c>
      <c r="L9" s="46" t="s">
        <v>117</v>
      </c>
      <c r="M9" s="46" t="s">
        <v>118</v>
      </c>
      <c r="N9" s="46" t="s">
        <v>119</v>
      </c>
      <c r="O9" s="46" t="s">
        <v>120</v>
      </c>
      <c r="P9" s="46" t="s">
        <v>121</v>
      </c>
      <c r="Q9" s="46" t="s">
        <v>122</v>
      </c>
      <c r="R9" s="121"/>
      <c r="S9" s="121"/>
      <c r="T9" s="121"/>
      <c r="U9" s="121"/>
      <c r="V9" s="121"/>
      <c r="W9" s="121"/>
      <c r="X9" s="121"/>
      <c r="Y9" s="121"/>
      <c r="Z9" s="121"/>
    </row>
    <row r="10" ht="21.0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122"/>
      <c r="S10" s="122"/>
      <c r="T10" s="122"/>
      <c r="U10" s="122"/>
      <c r="V10" s="122"/>
      <c r="W10" s="122"/>
      <c r="X10" s="122"/>
      <c r="Y10" s="122"/>
      <c r="Z10" s="122"/>
    </row>
    <row r="11">
      <c r="A11" s="123">
        <v>1.0</v>
      </c>
      <c r="B11" s="124" t="s">
        <v>123</v>
      </c>
      <c r="C11" s="125" t="s">
        <v>56</v>
      </c>
      <c r="D11" s="125">
        <v>432.0</v>
      </c>
      <c r="E11" s="126">
        <v>430.0</v>
      </c>
      <c r="F11" s="127">
        <v>36288.0</v>
      </c>
      <c r="G11" s="128" t="s">
        <v>124</v>
      </c>
      <c r="H11" s="129" t="s">
        <v>125</v>
      </c>
      <c r="I11" s="129" t="s">
        <v>126</v>
      </c>
      <c r="J11" s="129" t="s">
        <v>127</v>
      </c>
      <c r="K11" s="126">
        <v>36288.0</v>
      </c>
      <c r="L11" s="126">
        <v>145152.0</v>
      </c>
      <c r="M11" s="126">
        <v>181440.0</v>
      </c>
      <c r="N11" s="130">
        <f>+IF(F11/M11&gt;1,100%,F11/M11)</f>
        <v>0.2</v>
      </c>
      <c r="O11" s="126">
        <v>0.0</v>
      </c>
      <c r="P11" s="125" t="s">
        <v>128</v>
      </c>
      <c r="Q11" s="125">
        <v>1.07162118371E11</v>
      </c>
      <c r="R11" s="131"/>
      <c r="S11" s="131"/>
      <c r="T11" s="131"/>
      <c r="U11" s="131"/>
      <c r="V11" s="131"/>
      <c r="W11" s="131"/>
      <c r="X11" s="131"/>
      <c r="Y11" s="131"/>
      <c r="Z11" s="131"/>
    </row>
    <row r="12">
      <c r="A12" s="50"/>
      <c r="B12" s="50"/>
      <c r="C12" s="50"/>
      <c r="D12" s="50"/>
      <c r="E12" s="50"/>
      <c r="F12" s="127">
        <v>145152.0</v>
      </c>
      <c r="G12" s="128" t="s">
        <v>129</v>
      </c>
      <c r="H12" s="129" t="s">
        <v>130</v>
      </c>
      <c r="I12" s="129" t="s">
        <v>126</v>
      </c>
      <c r="J12" s="129" t="s">
        <v>127</v>
      </c>
      <c r="K12" s="50"/>
      <c r="L12" s="50"/>
      <c r="M12" s="50"/>
      <c r="N12" s="130">
        <f>+IF(F12/M11&gt;1,100%,F12/M11)</f>
        <v>0.8</v>
      </c>
      <c r="O12" s="50"/>
      <c r="P12" s="50"/>
      <c r="Q12" s="50"/>
      <c r="R12" s="131"/>
      <c r="S12" s="131"/>
      <c r="T12" s="131"/>
      <c r="U12" s="131"/>
      <c r="V12" s="131"/>
      <c r="W12" s="131"/>
      <c r="X12" s="131"/>
      <c r="Y12" s="131"/>
      <c r="Z12" s="131"/>
    </row>
    <row r="13">
      <c r="A13" s="123">
        <v>2.0</v>
      </c>
      <c r="B13" s="124" t="s">
        <v>131</v>
      </c>
      <c r="C13" s="125" t="s">
        <v>60</v>
      </c>
      <c r="D13" s="125">
        <v>4320.0</v>
      </c>
      <c r="E13" s="126">
        <v>24.0</v>
      </c>
      <c r="F13" s="127">
        <v>20736.0</v>
      </c>
      <c r="G13" s="128" t="s">
        <v>132</v>
      </c>
      <c r="H13" s="129" t="s">
        <v>133</v>
      </c>
      <c r="I13" s="129" t="s">
        <v>126</v>
      </c>
      <c r="J13" s="129" t="s">
        <v>127</v>
      </c>
      <c r="K13" s="126">
        <v>20736.0</v>
      </c>
      <c r="L13" s="126">
        <v>82944.0</v>
      </c>
      <c r="M13" s="126">
        <v>103680.0</v>
      </c>
      <c r="N13" s="130">
        <f>+IF(F13/M13&gt;1,100%,F13/M13)</f>
        <v>0.2</v>
      </c>
      <c r="O13" s="126">
        <v>0.0</v>
      </c>
      <c r="P13" s="132" t="s">
        <v>134</v>
      </c>
      <c r="Q13" s="125">
        <v>2.0609237369E10</v>
      </c>
      <c r="R13" s="131"/>
      <c r="S13" s="131"/>
      <c r="T13" s="131"/>
      <c r="U13" s="131"/>
      <c r="V13" s="131"/>
      <c r="W13" s="131"/>
      <c r="X13" s="131"/>
      <c r="Y13" s="131"/>
      <c r="Z13" s="131"/>
    </row>
    <row r="14" ht="18.75" customHeight="1">
      <c r="A14" s="50"/>
      <c r="B14" s="50"/>
      <c r="C14" s="50"/>
      <c r="D14" s="50"/>
      <c r="E14" s="50"/>
      <c r="F14" s="127">
        <v>82944.0</v>
      </c>
      <c r="G14" s="128" t="s">
        <v>135</v>
      </c>
      <c r="H14" s="129" t="s">
        <v>136</v>
      </c>
      <c r="I14" s="129" t="s">
        <v>126</v>
      </c>
      <c r="J14" s="129" t="s">
        <v>127</v>
      </c>
      <c r="K14" s="50"/>
      <c r="L14" s="50"/>
      <c r="M14" s="50"/>
      <c r="N14" s="130">
        <f>+IF(F14/M13&gt;1,100%,F14/M13)</f>
        <v>0.8</v>
      </c>
      <c r="O14" s="50"/>
      <c r="P14" s="50"/>
      <c r="Q14" s="50"/>
      <c r="R14" s="131"/>
      <c r="S14" s="131"/>
      <c r="T14" s="131"/>
      <c r="U14" s="131"/>
      <c r="V14" s="131"/>
      <c r="W14" s="131"/>
      <c r="X14" s="131"/>
      <c r="Y14" s="131"/>
      <c r="Z14" s="131"/>
    </row>
    <row r="15">
      <c r="A15" s="123">
        <v>3.0</v>
      </c>
      <c r="B15" s="124" t="s">
        <v>137</v>
      </c>
      <c r="C15" s="125" t="s">
        <v>60</v>
      </c>
      <c r="D15" s="125">
        <v>27.0</v>
      </c>
      <c r="E15" s="126">
        <v>100.0</v>
      </c>
      <c r="F15" s="127">
        <v>540.0</v>
      </c>
      <c r="G15" s="128" t="s">
        <v>132</v>
      </c>
      <c r="H15" s="129" t="s">
        <v>138</v>
      </c>
      <c r="I15" s="129" t="s">
        <v>126</v>
      </c>
      <c r="J15" s="129" t="s">
        <v>127</v>
      </c>
      <c r="K15" s="126">
        <v>540.0</v>
      </c>
      <c r="L15" s="126">
        <v>2160.0</v>
      </c>
      <c r="M15" s="126">
        <v>2700.0</v>
      </c>
      <c r="N15" s="130">
        <f>+IF(F15/M15&gt;1,100%,F15/M15)</f>
        <v>0.2</v>
      </c>
      <c r="O15" s="126">
        <v>0.0</v>
      </c>
      <c r="P15" s="132" t="s">
        <v>134</v>
      </c>
      <c r="Q15" s="125">
        <v>2.0609237369E10</v>
      </c>
      <c r="R15" s="131"/>
      <c r="S15" s="131"/>
      <c r="T15" s="131"/>
      <c r="U15" s="131"/>
      <c r="V15" s="131"/>
      <c r="W15" s="131"/>
      <c r="X15" s="131"/>
      <c r="Y15" s="131"/>
      <c r="Z15" s="131"/>
    </row>
    <row r="16" ht="18.0" customHeight="1">
      <c r="A16" s="50"/>
      <c r="B16" s="50"/>
      <c r="C16" s="50"/>
      <c r="D16" s="50"/>
      <c r="E16" s="50"/>
      <c r="F16" s="127">
        <v>2160.0</v>
      </c>
      <c r="G16" s="128" t="s">
        <v>135</v>
      </c>
      <c r="H16" s="129" t="s">
        <v>139</v>
      </c>
      <c r="I16" s="129" t="s">
        <v>126</v>
      </c>
      <c r="J16" s="129" t="s">
        <v>127</v>
      </c>
      <c r="K16" s="50"/>
      <c r="L16" s="50"/>
      <c r="M16" s="50"/>
      <c r="N16" s="130">
        <f>+IF(F16/M15&gt;1,100%,F16/M15)</f>
        <v>0.8</v>
      </c>
      <c r="O16" s="50"/>
      <c r="P16" s="50"/>
      <c r="Q16" s="50"/>
      <c r="R16" s="131"/>
      <c r="S16" s="131"/>
      <c r="T16" s="131"/>
      <c r="U16" s="131"/>
      <c r="V16" s="131"/>
      <c r="W16" s="131"/>
      <c r="X16" s="131"/>
      <c r="Y16" s="131"/>
      <c r="Z16" s="131"/>
    </row>
    <row r="17">
      <c r="A17" s="123">
        <v>4.0</v>
      </c>
      <c r="B17" s="133" t="s">
        <v>68</v>
      </c>
      <c r="C17" s="125" t="s">
        <v>60</v>
      </c>
      <c r="D17" s="134">
        <v>432.0</v>
      </c>
      <c r="E17" s="135">
        <v>70.0</v>
      </c>
      <c r="F17" s="136">
        <v>18576.0</v>
      </c>
      <c r="G17" s="137">
        <v>45978.0</v>
      </c>
      <c r="H17" s="138" t="s">
        <v>140</v>
      </c>
      <c r="I17" s="138" t="s">
        <v>126</v>
      </c>
      <c r="J17" s="138" t="s">
        <v>127</v>
      </c>
      <c r="K17" s="135">
        <v>18576.0</v>
      </c>
      <c r="L17" s="126">
        <v>11664.0</v>
      </c>
      <c r="M17" s="135">
        <v>30240.0</v>
      </c>
      <c r="N17" s="139">
        <f>(F17+F18)/M17</f>
        <v>1</v>
      </c>
      <c r="O17" s="140"/>
      <c r="P17" s="129"/>
      <c r="Q17" s="129"/>
      <c r="R17" s="131"/>
      <c r="S17" s="131"/>
      <c r="T17" s="131"/>
      <c r="U17" s="131"/>
      <c r="V17" s="131"/>
      <c r="W17" s="131"/>
      <c r="X17" s="131"/>
      <c r="Y17" s="131"/>
      <c r="Z17" s="131"/>
    </row>
    <row r="18">
      <c r="A18" s="50"/>
      <c r="B18" s="50"/>
      <c r="C18" s="50"/>
      <c r="D18" s="50"/>
      <c r="E18" s="50"/>
      <c r="F18" s="136">
        <v>11664.0</v>
      </c>
      <c r="G18" s="141">
        <v>46230.0</v>
      </c>
      <c r="H18" s="138" t="s">
        <v>141</v>
      </c>
      <c r="I18" s="138" t="s">
        <v>126</v>
      </c>
      <c r="J18" s="138" t="s">
        <v>127</v>
      </c>
      <c r="K18" s="50"/>
      <c r="L18" s="50"/>
      <c r="M18" s="50"/>
      <c r="N18" s="50"/>
      <c r="O18" s="140">
        <f>IF(F18=0,0,+F18-M18)</f>
        <v>11664</v>
      </c>
      <c r="P18" s="129"/>
      <c r="Q18" s="129"/>
      <c r="R18" s="131"/>
      <c r="S18" s="131"/>
      <c r="T18" s="131"/>
      <c r="U18" s="131"/>
      <c r="V18" s="131"/>
      <c r="W18" s="131"/>
      <c r="X18" s="131"/>
      <c r="Y18" s="131"/>
      <c r="Z18" s="131"/>
    </row>
    <row r="19">
      <c r="A19" s="123">
        <v>5.0</v>
      </c>
      <c r="B19" s="133" t="s">
        <v>69</v>
      </c>
      <c r="C19" s="125" t="s">
        <v>142</v>
      </c>
      <c r="D19" s="134">
        <v>250.0</v>
      </c>
      <c r="E19" s="135">
        <v>6.2</v>
      </c>
      <c r="F19" s="136">
        <v>310.0</v>
      </c>
      <c r="G19" s="137">
        <v>45978.0</v>
      </c>
      <c r="H19" s="138" t="s">
        <v>143</v>
      </c>
      <c r="I19" s="138" t="s">
        <v>126</v>
      </c>
      <c r="J19" s="138" t="s">
        <v>127</v>
      </c>
      <c r="K19" s="126">
        <v>324.0</v>
      </c>
      <c r="L19" s="126">
        <v>1296.0</v>
      </c>
      <c r="M19" s="126">
        <v>1620.0</v>
      </c>
      <c r="N19" s="142">
        <v>1.0</v>
      </c>
      <c r="O19" s="140"/>
      <c r="P19" s="129"/>
      <c r="Q19" s="129"/>
      <c r="R19" s="131"/>
      <c r="S19" s="131"/>
      <c r="T19" s="131"/>
      <c r="U19" s="131"/>
      <c r="V19" s="131"/>
      <c r="W19" s="131"/>
      <c r="X19" s="131"/>
      <c r="Y19" s="131"/>
      <c r="Z19" s="131"/>
    </row>
    <row r="20">
      <c r="A20" s="50"/>
      <c r="B20" s="50"/>
      <c r="C20" s="50"/>
      <c r="D20" s="50"/>
      <c r="E20" s="50"/>
      <c r="F20" s="136">
        <v>1240.0</v>
      </c>
      <c r="G20" s="141">
        <v>46230.0</v>
      </c>
      <c r="H20" s="138" t="s">
        <v>144</v>
      </c>
      <c r="I20" s="138" t="s">
        <v>126</v>
      </c>
      <c r="J20" s="138" t="s">
        <v>127</v>
      </c>
      <c r="K20" s="50"/>
      <c r="L20" s="50"/>
      <c r="M20" s="50"/>
      <c r="N20" s="50"/>
      <c r="O20" s="140">
        <f t="shared" ref="O20:O21" si="1">IF(F20=0,0,+F20-M20)</f>
        <v>1240</v>
      </c>
      <c r="P20" s="129"/>
      <c r="Q20" s="129"/>
      <c r="R20" s="131"/>
      <c r="S20" s="131"/>
      <c r="T20" s="131"/>
      <c r="U20" s="131"/>
      <c r="V20" s="131"/>
      <c r="W20" s="131"/>
      <c r="X20" s="131"/>
      <c r="Y20" s="131"/>
      <c r="Z20" s="131"/>
    </row>
    <row r="21">
      <c r="A21" s="143">
        <v>6.0</v>
      </c>
      <c r="B21" s="144" t="s">
        <v>71</v>
      </c>
      <c r="C21" s="129" t="s">
        <v>60</v>
      </c>
      <c r="D21" s="129">
        <v>108.0</v>
      </c>
      <c r="E21" s="127"/>
      <c r="F21" s="127">
        <v>0.0</v>
      </c>
      <c r="G21" s="129"/>
      <c r="H21" s="129"/>
      <c r="I21" s="129"/>
      <c r="J21" s="129"/>
      <c r="K21" s="127">
        <v>8424.0</v>
      </c>
      <c r="L21" s="127">
        <v>33696.0</v>
      </c>
      <c r="M21" s="127">
        <v>42120.0</v>
      </c>
      <c r="N21" s="130">
        <f>+IF(F21/M21&gt;1,100%,F21/M21)</f>
        <v>0</v>
      </c>
      <c r="O21" s="140">
        <f t="shared" si="1"/>
        <v>0</v>
      </c>
      <c r="P21" s="129"/>
      <c r="Q21" s="129"/>
      <c r="R21" s="131"/>
      <c r="S21" s="131"/>
      <c r="T21" s="131"/>
      <c r="U21" s="131"/>
      <c r="V21" s="131"/>
      <c r="W21" s="131"/>
      <c r="X21" s="131"/>
      <c r="Y21" s="131"/>
      <c r="Z21" s="131"/>
    </row>
    <row r="22">
      <c r="A22" s="123">
        <v>7.0</v>
      </c>
      <c r="B22" s="145" t="s">
        <v>74</v>
      </c>
      <c r="C22" s="125" t="s">
        <v>142</v>
      </c>
      <c r="D22" s="125">
        <v>1350.0</v>
      </c>
      <c r="E22" s="135">
        <v>45.0</v>
      </c>
      <c r="F22" s="127"/>
      <c r="G22" s="129"/>
      <c r="H22" s="129"/>
      <c r="I22" s="129"/>
      <c r="J22" s="129"/>
      <c r="K22" s="127"/>
      <c r="L22" s="127"/>
      <c r="M22" s="127"/>
      <c r="N22" s="130"/>
      <c r="O22" s="140"/>
      <c r="P22" s="146"/>
      <c r="Q22" s="129"/>
      <c r="R22" s="131"/>
      <c r="S22" s="131"/>
      <c r="T22" s="131"/>
      <c r="U22" s="131"/>
      <c r="V22" s="131"/>
      <c r="W22" s="131"/>
      <c r="X22" s="131"/>
      <c r="Y22" s="131"/>
      <c r="Z22" s="131"/>
    </row>
    <row r="23">
      <c r="A23" s="50"/>
      <c r="B23" s="50"/>
      <c r="C23" s="50"/>
      <c r="D23" s="50"/>
      <c r="E23" s="50"/>
      <c r="F23" s="136">
        <v>17550.0</v>
      </c>
      <c r="G23" s="137">
        <v>45978.0</v>
      </c>
      <c r="H23" s="138" t="s">
        <v>145</v>
      </c>
      <c r="I23" s="138" t="s">
        <v>126</v>
      </c>
      <c r="J23" s="138" t="s">
        <v>127</v>
      </c>
      <c r="K23" s="127">
        <v>10800.0</v>
      </c>
      <c r="L23" s="127">
        <v>43200.0</v>
      </c>
      <c r="M23" s="127">
        <v>54000.0</v>
      </c>
      <c r="N23" s="130">
        <f t="shared" ref="N23:N25" si="2">+IF(F23/M23&gt;1,100%,F23/M23)</f>
        <v>0.325</v>
      </c>
      <c r="O23" s="140">
        <f t="shared" ref="O23:O25" si="3">IF(F23=0,0,+F23-M23)</f>
        <v>-36450</v>
      </c>
      <c r="P23" s="146"/>
      <c r="Q23" s="129"/>
      <c r="R23" s="131"/>
      <c r="S23" s="131"/>
      <c r="T23" s="131"/>
      <c r="U23" s="131"/>
      <c r="V23" s="131"/>
      <c r="W23" s="131"/>
      <c r="X23" s="131"/>
      <c r="Y23" s="131"/>
      <c r="Z23" s="131"/>
    </row>
    <row r="24" ht="15.75" customHeight="1">
      <c r="A24" s="143">
        <v>8.0</v>
      </c>
      <c r="B24" s="144" t="s">
        <v>79</v>
      </c>
      <c r="C24" s="129" t="s">
        <v>142</v>
      </c>
      <c r="D24" s="129">
        <v>108.0</v>
      </c>
      <c r="E24" s="127"/>
      <c r="F24" s="127">
        <v>0.0</v>
      </c>
      <c r="G24" s="129"/>
      <c r="H24" s="129"/>
      <c r="I24" s="129"/>
      <c r="J24" s="129"/>
      <c r="K24" s="127">
        <v>540.0</v>
      </c>
      <c r="L24" s="127">
        <v>2160.0</v>
      </c>
      <c r="M24" s="127">
        <v>2700.0</v>
      </c>
      <c r="N24" s="130">
        <f t="shared" si="2"/>
        <v>0</v>
      </c>
      <c r="O24" s="140">
        <f t="shared" si="3"/>
        <v>0</v>
      </c>
      <c r="P24" s="129"/>
      <c r="Q24" s="129"/>
      <c r="R24" s="131"/>
      <c r="S24" s="131"/>
      <c r="T24" s="131"/>
      <c r="U24" s="131"/>
      <c r="V24" s="131"/>
      <c r="W24" s="131"/>
      <c r="X24" s="131"/>
      <c r="Y24" s="131"/>
      <c r="Z24" s="131"/>
    </row>
    <row r="25" ht="15.75" customHeight="1">
      <c r="A25" s="143">
        <v>9.0</v>
      </c>
      <c r="B25" s="144" t="s">
        <v>83</v>
      </c>
      <c r="C25" s="129" t="s">
        <v>146</v>
      </c>
      <c r="D25" s="129">
        <v>13.5</v>
      </c>
      <c r="E25" s="127"/>
      <c r="F25" s="127">
        <v>0.0</v>
      </c>
      <c r="G25" s="129"/>
      <c r="H25" s="129"/>
      <c r="I25" s="129"/>
      <c r="J25" s="129"/>
      <c r="K25" s="127">
        <v>27.0</v>
      </c>
      <c r="L25" s="127">
        <v>108.0</v>
      </c>
      <c r="M25" s="127">
        <v>135.0</v>
      </c>
      <c r="N25" s="130">
        <f t="shared" si="2"/>
        <v>0</v>
      </c>
      <c r="O25" s="140">
        <f t="shared" si="3"/>
        <v>0</v>
      </c>
      <c r="P25" s="129"/>
      <c r="Q25" s="129"/>
      <c r="R25" s="131"/>
      <c r="S25" s="131"/>
      <c r="T25" s="131"/>
      <c r="U25" s="131"/>
      <c r="V25" s="131"/>
      <c r="W25" s="131"/>
      <c r="X25" s="131"/>
      <c r="Y25" s="131"/>
      <c r="Z25" s="131"/>
    </row>
    <row r="26" ht="15.75" customHeight="1">
      <c r="A26" s="123">
        <v>10.0</v>
      </c>
      <c r="B26" s="145" t="s">
        <v>86</v>
      </c>
      <c r="C26" s="125" t="s">
        <v>87</v>
      </c>
      <c r="D26" s="125">
        <v>27.0</v>
      </c>
      <c r="E26" s="135">
        <v>226.8</v>
      </c>
      <c r="F26" s="136">
        <v>1224.72</v>
      </c>
      <c r="G26" s="137">
        <v>45978.0</v>
      </c>
      <c r="H26" s="138" t="s">
        <v>147</v>
      </c>
      <c r="I26" s="138" t="s">
        <v>126</v>
      </c>
      <c r="J26" s="138" t="s">
        <v>127</v>
      </c>
      <c r="K26" s="126">
        <v>1371.6</v>
      </c>
      <c r="L26" s="126">
        <v>5486.4</v>
      </c>
      <c r="M26" s="126">
        <v>6858.0</v>
      </c>
      <c r="N26" s="147">
        <v>1.0</v>
      </c>
      <c r="O26" s="140"/>
      <c r="P26" s="129"/>
      <c r="Q26" s="129"/>
      <c r="R26" s="131"/>
      <c r="S26" s="131"/>
      <c r="T26" s="131"/>
      <c r="U26" s="131"/>
      <c r="V26" s="131"/>
      <c r="W26" s="131"/>
      <c r="X26" s="131"/>
      <c r="Y26" s="131"/>
      <c r="Z26" s="131"/>
    </row>
    <row r="27" ht="15.75" customHeight="1">
      <c r="A27" s="50"/>
      <c r="B27" s="50"/>
      <c r="C27" s="50"/>
      <c r="D27" s="50"/>
      <c r="E27" s="50"/>
      <c r="F27" s="136">
        <v>4898.88</v>
      </c>
      <c r="G27" s="141">
        <v>46191.0</v>
      </c>
      <c r="H27" s="138" t="s">
        <v>148</v>
      </c>
      <c r="I27" s="138" t="s">
        <v>126</v>
      </c>
      <c r="J27" s="138" t="s">
        <v>127</v>
      </c>
      <c r="K27" s="50"/>
      <c r="L27" s="50"/>
      <c r="M27" s="50"/>
      <c r="N27" s="50"/>
      <c r="O27" s="140">
        <f t="shared" ref="O27:O28" si="4">IF(F27=0,0,+F27-M27)</f>
        <v>4898.88</v>
      </c>
      <c r="P27" s="129"/>
      <c r="Q27" s="129"/>
      <c r="R27" s="131"/>
      <c r="S27" s="131"/>
      <c r="T27" s="131"/>
      <c r="U27" s="131"/>
      <c r="V27" s="131"/>
      <c r="W27" s="131"/>
      <c r="X27" s="131"/>
      <c r="Y27" s="131"/>
      <c r="Z27" s="131"/>
    </row>
    <row r="28" ht="15.75" customHeight="1">
      <c r="A28" s="143">
        <v>11.0</v>
      </c>
      <c r="B28" s="144" t="s">
        <v>90</v>
      </c>
      <c r="C28" s="129" t="s">
        <v>149</v>
      </c>
      <c r="D28" s="129">
        <v>1080.0</v>
      </c>
      <c r="E28" s="127"/>
      <c r="F28" s="127">
        <v>0.0</v>
      </c>
      <c r="G28" s="129"/>
      <c r="H28" s="129"/>
      <c r="I28" s="129"/>
      <c r="J28" s="129"/>
      <c r="K28" s="127">
        <v>14040.0</v>
      </c>
      <c r="L28" s="127">
        <v>56160.0</v>
      </c>
      <c r="M28" s="127">
        <v>70200.0</v>
      </c>
      <c r="N28" s="130">
        <f>+IF(F28/M28&gt;1,100%,F28/M28)</f>
        <v>0</v>
      </c>
      <c r="O28" s="140">
        <f t="shared" si="4"/>
        <v>0</v>
      </c>
      <c r="P28" s="146"/>
      <c r="Q28" s="129"/>
      <c r="R28" s="131"/>
      <c r="S28" s="131"/>
      <c r="T28" s="131"/>
      <c r="U28" s="131"/>
      <c r="V28" s="131"/>
      <c r="W28" s="131"/>
      <c r="X28" s="131"/>
      <c r="Y28" s="131"/>
      <c r="Z28" s="131"/>
    </row>
    <row r="29" ht="18.0" customHeight="1">
      <c r="A29" s="123">
        <v>12.0</v>
      </c>
      <c r="B29" s="148" t="s">
        <v>150</v>
      </c>
      <c r="C29" s="125" t="s">
        <v>151</v>
      </c>
      <c r="D29" s="125">
        <v>12.0</v>
      </c>
      <c r="E29" s="135">
        <v>2000.0</v>
      </c>
      <c r="F29" s="135">
        <v>2000.0</v>
      </c>
      <c r="G29" s="137">
        <v>46011.0</v>
      </c>
      <c r="H29" s="136" t="s">
        <v>152</v>
      </c>
      <c r="I29" s="149" t="s">
        <v>153</v>
      </c>
      <c r="J29" s="136" t="s">
        <v>154</v>
      </c>
      <c r="K29" s="126">
        <v>4800.0</v>
      </c>
      <c r="L29" s="126">
        <v>19200.0</v>
      </c>
      <c r="M29" s="150">
        <v>24000.0</v>
      </c>
      <c r="N29" s="139">
        <f>(F29+F30)/M29</f>
        <v>0.1666666667</v>
      </c>
      <c r="O29" s="151"/>
      <c r="P29" s="19"/>
      <c r="Q29" s="152"/>
      <c r="R29" s="153"/>
      <c r="S29" s="153"/>
      <c r="T29" s="153"/>
      <c r="U29" s="153"/>
      <c r="V29" s="153"/>
      <c r="W29" s="153"/>
      <c r="X29" s="153"/>
      <c r="Y29" s="153"/>
      <c r="Z29" s="153"/>
    </row>
    <row r="30" ht="18.0" customHeight="1">
      <c r="A30" s="50"/>
      <c r="B30" s="50"/>
      <c r="C30" s="50"/>
      <c r="D30" s="50"/>
      <c r="E30" s="50"/>
      <c r="F30" s="135">
        <v>2000.0</v>
      </c>
      <c r="G30" s="137">
        <v>46011.0</v>
      </c>
      <c r="H30" s="136" t="s">
        <v>155</v>
      </c>
      <c r="I30" s="149" t="s">
        <v>153</v>
      </c>
      <c r="J30" s="136" t="s">
        <v>154</v>
      </c>
      <c r="K30" s="50"/>
      <c r="L30" s="50"/>
      <c r="M30" s="50"/>
      <c r="N30" s="50"/>
      <c r="O30" s="151">
        <f>IF(F30=0,0,+F30-M30)</f>
        <v>2000</v>
      </c>
      <c r="P30" s="154"/>
      <c r="Q30" s="152"/>
      <c r="R30" s="153"/>
      <c r="S30" s="153"/>
      <c r="T30" s="153"/>
      <c r="U30" s="153"/>
      <c r="V30" s="153"/>
      <c r="W30" s="153"/>
      <c r="X30" s="153"/>
      <c r="Y30" s="153"/>
      <c r="Z30" s="153"/>
    </row>
    <row r="31" ht="19.5" customHeight="1">
      <c r="A31" s="123">
        <v>13.0</v>
      </c>
      <c r="B31" s="148" t="s">
        <v>156</v>
      </c>
      <c r="C31" s="125" t="s">
        <v>157</v>
      </c>
      <c r="D31" s="125">
        <v>1.0</v>
      </c>
      <c r="E31" s="155">
        <v>9900.0</v>
      </c>
      <c r="F31" s="127">
        <v>1980.0</v>
      </c>
      <c r="G31" s="156">
        <v>45695.0</v>
      </c>
      <c r="H31" s="127" t="s">
        <v>158</v>
      </c>
      <c r="I31" s="149" t="s">
        <v>153</v>
      </c>
      <c r="J31" s="127" t="s">
        <v>154</v>
      </c>
      <c r="K31" s="126">
        <v>1980.0</v>
      </c>
      <c r="L31" s="126">
        <v>7920.0</v>
      </c>
      <c r="M31" s="150">
        <v>9900.0</v>
      </c>
      <c r="N31" s="130">
        <f>+IF(F31/M31&gt;1,100%,F31/M31)</f>
        <v>0.2</v>
      </c>
      <c r="O31" s="126">
        <v>0.0</v>
      </c>
      <c r="P31" s="132" t="s">
        <v>159</v>
      </c>
      <c r="Q31" s="157">
        <v>1.0408186191E10</v>
      </c>
      <c r="R31" s="153"/>
      <c r="S31" s="153"/>
      <c r="T31" s="153"/>
      <c r="U31" s="153"/>
      <c r="V31" s="153"/>
      <c r="W31" s="153"/>
      <c r="X31" s="153"/>
      <c r="Y31" s="153"/>
      <c r="Z31" s="153"/>
    </row>
    <row r="32" ht="19.5" customHeight="1">
      <c r="A32" s="50"/>
      <c r="B32" s="50"/>
      <c r="C32" s="50"/>
      <c r="D32" s="50"/>
      <c r="E32" s="50"/>
      <c r="F32" s="127">
        <v>7920.0</v>
      </c>
      <c r="G32" s="156">
        <v>45695.0</v>
      </c>
      <c r="H32" s="127" t="s">
        <v>160</v>
      </c>
      <c r="I32" s="149" t="s">
        <v>153</v>
      </c>
      <c r="J32" s="127" t="s">
        <v>154</v>
      </c>
      <c r="K32" s="50"/>
      <c r="L32" s="50"/>
      <c r="M32" s="50"/>
      <c r="N32" s="130">
        <f>+IF(F32/M31&gt;1,100%,F32/M31)</f>
        <v>0.8</v>
      </c>
      <c r="O32" s="50"/>
      <c r="P32" s="50"/>
      <c r="Q32" s="50"/>
      <c r="R32" s="153"/>
      <c r="S32" s="153"/>
      <c r="T32" s="153"/>
      <c r="U32" s="153"/>
      <c r="V32" s="153"/>
      <c r="W32" s="153"/>
      <c r="X32" s="153"/>
      <c r="Y32" s="153"/>
      <c r="Z32" s="153"/>
    </row>
    <row r="33" ht="18.0" customHeight="1">
      <c r="A33" s="158"/>
      <c r="B33" s="117" t="s">
        <v>161</v>
      </c>
      <c r="C33" s="12"/>
      <c r="D33" s="117"/>
      <c r="E33" s="12"/>
      <c r="F33" s="159">
        <f>SUM(F11:F32)</f>
        <v>357183.6</v>
      </c>
      <c r="G33" s="160"/>
      <c r="H33" s="17"/>
      <c r="I33" s="17"/>
      <c r="J33" s="17"/>
      <c r="K33" s="17"/>
      <c r="L33" s="12"/>
      <c r="M33" s="161">
        <f>SUM(M11:M32)</f>
        <v>529593</v>
      </c>
      <c r="N33" s="130">
        <f>+IF(F33/M33&gt;1,100%,F33/M33)</f>
        <v>0.6744492469</v>
      </c>
      <c r="O33" s="140">
        <f>IF(F33=0,0,+F33-M33)</f>
        <v>-172409.4</v>
      </c>
      <c r="P33" s="162"/>
      <c r="Q33" s="12"/>
      <c r="R33" s="153"/>
      <c r="S33" s="153"/>
      <c r="T33" s="153"/>
      <c r="U33" s="153"/>
      <c r="V33" s="153"/>
      <c r="W33" s="153"/>
      <c r="X33" s="153"/>
      <c r="Y33" s="153"/>
      <c r="Z33" s="153"/>
    </row>
    <row r="34" ht="15.75" customHeight="1">
      <c r="B34" s="111"/>
      <c r="F34" s="31"/>
      <c r="O34" s="31"/>
    </row>
    <row r="35" ht="15.75" customHeight="1">
      <c r="A35" s="163" t="s">
        <v>162</v>
      </c>
      <c r="B35" s="111"/>
      <c r="F35" s="31"/>
      <c r="O35" s="31"/>
    </row>
    <row r="36" ht="15.75" customHeight="1">
      <c r="A36" s="164" t="s">
        <v>163</v>
      </c>
      <c r="B36" s="111"/>
      <c r="F36" s="31"/>
      <c r="O36" s="31"/>
    </row>
    <row r="37" ht="15.75" customHeight="1">
      <c r="A37" s="164" t="s">
        <v>164</v>
      </c>
      <c r="B37" s="111"/>
      <c r="F37" s="31"/>
      <c r="O37" s="31"/>
    </row>
    <row r="38" ht="15.75" customHeight="1">
      <c r="A38" s="164" t="s">
        <v>165</v>
      </c>
      <c r="B38" s="111"/>
      <c r="F38" s="31"/>
      <c r="O38" s="31"/>
    </row>
    <row r="39" ht="15.75" customHeight="1">
      <c r="B39" s="111"/>
      <c r="F39" s="31"/>
      <c r="O39" s="31"/>
    </row>
    <row r="40" ht="15.75" customHeight="1">
      <c r="B40" s="111"/>
      <c r="F40" s="31"/>
      <c r="O40" s="31"/>
    </row>
    <row r="41" ht="15.75" customHeight="1">
      <c r="B41" s="111"/>
      <c r="F41" s="31"/>
      <c r="O41" s="31"/>
    </row>
    <row r="42" ht="15.75" customHeight="1">
      <c r="B42" s="111"/>
      <c r="F42" s="31"/>
      <c r="O42" s="31"/>
    </row>
    <row r="43" ht="15.75" customHeight="1">
      <c r="B43" s="111"/>
      <c r="F43" s="31"/>
      <c r="O43" s="31"/>
    </row>
    <row r="44" ht="15.75" customHeight="1">
      <c r="B44" s="111"/>
      <c r="F44" s="31"/>
      <c r="O44" s="31"/>
    </row>
    <row r="45" ht="15.75" customHeight="1">
      <c r="B45" s="111"/>
      <c r="F45" s="31"/>
      <c r="O45" s="31"/>
    </row>
    <row r="46" ht="15.75" customHeight="1">
      <c r="B46" s="111"/>
      <c r="F46" s="31"/>
      <c r="O46" s="31"/>
    </row>
    <row r="47" ht="15.75" customHeight="1">
      <c r="B47" s="111"/>
      <c r="F47" s="31"/>
      <c r="O47" s="31"/>
    </row>
    <row r="48" ht="15.75" customHeight="1">
      <c r="B48" s="111"/>
      <c r="F48" s="31"/>
      <c r="O48" s="31"/>
    </row>
    <row r="49" ht="15.75" customHeight="1">
      <c r="B49" s="111"/>
      <c r="F49" s="31"/>
      <c r="O49" s="31"/>
    </row>
    <row r="50" ht="15.75" customHeight="1">
      <c r="B50" s="111"/>
      <c r="F50" s="31"/>
      <c r="O50" s="31"/>
    </row>
    <row r="51" ht="15.75" customHeight="1">
      <c r="B51" s="111"/>
      <c r="F51" s="31"/>
      <c r="O51" s="31"/>
    </row>
    <row r="52" ht="15.75" customHeight="1">
      <c r="B52" s="111"/>
      <c r="F52" s="31"/>
      <c r="O52" s="31"/>
    </row>
    <row r="53" ht="15.75" customHeight="1">
      <c r="B53" s="111"/>
      <c r="F53" s="31"/>
      <c r="O53" s="31"/>
    </row>
    <row r="54" ht="15.75" customHeight="1">
      <c r="B54" s="111"/>
      <c r="F54" s="31"/>
      <c r="O54" s="31"/>
    </row>
    <row r="55" ht="15.75" customHeight="1">
      <c r="B55" s="111"/>
      <c r="F55" s="31"/>
      <c r="O55" s="31"/>
    </row>
    <row r="56" ht="15.75" customHeight="1">
      <c r="B56" s="111"/>
      <c r="F56" s="31"/>
      <c r="O56" s="31"/>
    </row>
    <row r="57" ht="15.75" customHeight="1">
      <c r="B57" s="111"/>
      <c r="F57" s="31"/>
      <c r="O57" s="31"/>
    </row>
    <row r="58" ht="15.75" customHeight="1">
      <c r="B58" s="111"/>
      <c r="F58" s="31"/>
      <c r="O58" s="31"/>
    </row>
    <row r="59" ht="15.75" customHeight="1">
      <c r="B59" s="111"/>
      <c r="F59" s="31"/>
      <c r="O59" s="31"/>
    </row>
    <row r="60" ht="15.75" customHeight="1">
      <c r="B60" s="111"/>
      <c r="F60" s="31"/>
      <c r="O60" s="31"/>
    </row>
    <row r="61" ht="15.75" customHeight="1">
      <c r="B61" s="111"/>
      <c r="F61" s="31"/>
      <c r="O61" s="31"/>
    </row>
    <row r="62" ht="15.75" customHeight="1">
      <c r="B62" s="111"/>
      <c r="F62" s="31"/>
      <c r="O62" s="31"/>
    </row>
    <row r="63" ht="15.75" customHeight="1">
      <c r="B63" s="111"/>
      <c r="F63" s="31"/>
      <c r="O63" s="31"/>
    </row>
    <row r="64" ht="15.75" customHeight="1">
      <c r="B64" s="111"/>
      <c r="F64" s="31"/>
      <c r="O64" s="31"/>
    </row>
    <row r="65" ht="15.75" customHeight="1">
      <c r="B65" s="111"/>
      <c r="F65" s="31"/>
      <c r="O65" s="31"/>
    </row>
    <row r="66" ht="15.75" customHeight="1">
      <c r="B66" s="111"/>
      <c r="F66" s="31"/>
      <c r="O66" s="31"/>
    </row>
    <row r="67" ht="15.75" customHeight="1">
      <c r="B67" s="111"/>
      <c r="F67" s="31"/>
      <c r="O67" s="31"/>
    </row>
    <row r="68" ht="15.75" customHeight="1">
      <c r="B68" s="111"/>
      <c r="F68" s="31"/>
      <c r="O68" s="31"/>
    </row>
    <row r="69" ht="15.75" customHeight="1">
      <c r="B69" s="111"/>
      <c r="F69" s="31"/>
      <c r="O69" s="31"/>
    </row>
    <row r="70" ht="15.75" customHeight="1">
      <c r="B70" s="111"/>
      <c r="F70" s="31"/>
      <c r="O70" s="31"/>
    </row>
    <row r="71" ht="15.75" customHeight="1">
      <c r="B71" s="111"/>
      <c r="F71" s="31"/>
      <c r="O71" s="31"/>
    </row>
    <row r="72" ht="15.75" customHeight="1">
      <c r="B72" s="111"/>
      <c r="F72" s="31"/>
      <c r="O72" s="31"/>
    </row>
    <row r="73" ht="15.75" customHeight="1">
      <c r="B73" s="111"/>
      <c r="F73" s="31"/>
      <c r="O73" s="31"/>
    </row>
    <row r="74" ht="15.75" customHeight="1">
      <c r="B74" s="111"/>
      <c r="F74" s="31"/>
      <c r="O74" s="31"/>
    </row>
    <row r="75" ht="15.75" customHeight="1">
      <c r="B75" s="111"/>
      <c r="F75" s="31"/>
      <c r="O75" s="31"/>
    </row>
    <row r="76" ht="15.75" customHeight="1">
      <c r="B76" s="111"/>
      <c r="F76" s="31"/>
      <c r="O76" s="31"/>
    </row>
    <row r="77" ht="15.75" customHeight="1">
      <c r="B77" s="111"/>
      <c r="F77" s="31"/>
      <c r="O77" s="31"/>
    </row>
    <row r="78" ht="15.75" customHeight="1">
      <c r="B78" s="111"/>
      <c r="F78" s="31"/>
      <c r="O78" s="31"/>
    </row>
    <row r="79" ht="15.75" customHeight="1">
      <c r="B79" s="111"/>
      <c r="F79" s="31"/>
      <c r="O79" s="31"/>
    </row>
    <row r="80" ht="15.75" customHeight="1">
      <c r="B80" s="111"/>
      <c r="F80" s="31"/>
      <c r="O80" s="31"/>
    </row>
    <row r="81" ht="15.75" customHeight="1">
      <c r="B81" s="111"/>
      <c r="F81" s="31"/>
      <c r="O81" s="31"/>
    </row>
    <row r="82" ht="15.75" customHeight="1">
      <c r="B82" s="111"/>
      <c r="F82" s="31"/>
      <c r="O82" s="31"/>
    </row>
    <row r="83" ht="15.75" customHeight="1">
      <c r="B83" s="111"/>
      <c r="F83" s="31"/>
      <c r="O83" s="31"/>
    </row>
    <row r="84" ht="15.75" customHeight="1">
      <c r="B84" s="111"/>
      <c r="F84" s="31"/>
      <c r="O84" s="31"/>
    </row>
    <row r="85" ht="15.75" customHeight="1">
      <c r="B85" s="111"/>
      <c r="F85" s="31"/>
      <c r="O85" s="31"/>
    </row>
    <row r="86" ht="15.75" customHeight="1">
      <c r="B86" s="111"/>
      <c r="F86" s="31"/>
      <c r="O86" s="31"/>
    </row>
    <row r="87" ht="15.75" customHeight="1">
      <c r="B87" s="111"/>
      <c r="F87" s="31"/>
      <c r="O87" s="31"/>
    </row>
    <row r="88" ht="15.75" customHeight="1">
      <c r="B88" s="111"/>
      <c r="F88" s="31"/>
      <c r="O88" s="31"/>
    </row>
    <row r="89" ht="15.75" customHeight="1">
      <c r="B89" s="111"/>
      <c r="F89" s="31"/>
      <c r="O89" s="31"/>
    </row>
    <row r="90" ht="15.75" customHeight="1">
      <c r="B90" s="111"/>
      <c r="F90" s="31"/>
      <c r="O90" s="31"/>
    </row>
    <row r="91" ht="15.75" customHeight="1">
      <c r="B91" s="111"/>
      <c r="F91" s="31"/>
      <c r="O91" s="31"/>
    </row>
    <row r="92" ht="15.75" customHeight="1">
      <c r="B92" s="111"/>
      <c r="F92" s="31"/>
      <c r="O92" s="31"/>
    </row>
    <row r="93" ht="15.75" customHeight="1">
      <c r="B93" s="111"/>
      <c r="F93" s="31"/>
      <c r="O93" s="31"/>
    </row>
    <row r="94" ht="15.75" customHeight="1">
      <c r="B94" s="111"/>
      <c r="F94" s="31"/>
      <c r="O94" s="31"/>
    </row>
    <row r="95" ht="15.75" customHeight="1">
      <c r="B95" s="111"/>
      <c r="F95" s="31"/>
      <c r="O95" s="31"/>
    </row>
    <row r="96" ht="15.75" customHeight="1">
      <c r="B96" s="111"/>
      <c r="F96" s="31"/>
      <c r="O96" s="31"/>
    </row>
    <row r="97" ht="15.75" customHeight="1">
      <c r="B97" s="111"/>
      <c r="F97" s="31"/>
      <c r="O97" s="31"/>
    </row>
    <row r="98" ht="15.75" customHeight="1">
      <c r="B98" s="111"/>
      <c r="F98" s="31"/>
      <c r="O98" s="31"/>
    </row>
    <row r="99" ht="15.75" customHeight="1">
      <c r="B99" s="111"/>
      <c r="F99" s="31"/>
      <c r="O99" s="31"/>
    </row>
    <row r="100" ht="15.75" customHeight="1">
      <c r="B100" s="111"/>
      <c r="F100" s="31"/>
      <c r="O100" s="31"/>
    </row>
    <row r="101" ht="15.75" customHeight="1">
      <c r="B101" s="111"/>
      <c r="F101" s="31"/>
      <c r="O101" s="31"/>
    </row>
    <row r="102" ht="15.75" customHeight="1">
      <c r="B102" s="111"/>
      <c r="F102" s="31"/>
      <c r="O102" s="31"/>
    </row>
    <row r="103" ht="15.75" customHeight="1">
      <c r="B103" s="111"/>
      <c r="F103" s="31"/>
      <c r="O103" s="31"/>
    </row>
    <row r="104" ht="15.75" customHeight="1">
      <c r="B104" s="111"/>
      <c r="F104" s="31"/>
      <c r="O104" s="31"/>
    </row>
    <row r="105" ht="15.75" customHeight="1">
      <c r="B105" s="111"/>
      <c r="F105" s="31"/>
      <c r="O105" s="31"/>
    </row>
    <row r="106" ht="15.75" customHeight="1">
      <c r="B106" s="111"/>
      <c r="F106" s="31"/>
      <c r="O106" s="31"/>
    </row>
    <row r="107" ht="15.75" customHeight="1">
      <c r="B107" s="111"/>
      <c r="F107" s="31"/>
      <c r="O107" s="31"/>
    </row>
    <row r="108" ht="15.75" customHeight="1">
      <c r="B108" s="111"/>
      <c r="F108" s="31"/>
      <c r="O108" s="31"/>
    </row>
    <row r="109" ht="15.75" customHeight="1">
      <c r="B109" s="111"/>
      <c r="F109" s="31"/>
      <c r="O109" s="31"/>
    </row>
    <row r="110" ht="15.75" customHeight="1">
      <c r="B110" s="111"/>
      <c r="F110" s="31"/>
      <c r="O110" s="31"/>
    </row>
    <row r="111" ht="15.75" customHeight="1">
      <c r="B111" s="111"/>
      <c r="F111" s="31"/>
      <c r="O111" s="31"/>
    </row>
    <row r="112" ht="15.75" customHeight="1">
      <c r="B112" s="111"/>
      <c r="F112" s="31"/>
      <c r="O112" s="31"/>
    </row>
    <row r="113" ht="15.75" customHeight="1">
      <c r="B113" s="111"/>
      <c r="F113" s="31"/>
      <c r="O113" s="31"/>
    </row>
    <row r="114" ht="15.75" customHeight="1">
      <c r="B114" s="111"/>
      <c r="F114" s="31"/>
      <c r="O114" s="31"/>
    </row>
    <row r="115" ht="15.75" customHeight="1">
      <c r="B115" s="111"/>
      <c r="F115" s="31"/>
      <c r="O115" s="31"/>
    </row>
    <row r="116" ht="15.75" customHeight="1">
      <c r="B116" s="111"/>
      <c r="F116" s="31"/>
      <c r="O116" s="31"/>
    </row>
    <row r="117" ht="15.75" customHeight="1">
      <c r="B117" s="111"/>
      <c r="F117" s="31"/>
      <c r="O117" s="31"/>
    </row>
    <row r="118" ht="15.75" customHeight="1">
      <c r="B118" s="111"/>
      <c r="F118" s="31"/>
      <c r="O118" s="31"/>
    </row>
    <row r="119" ht="15.75" customHeight="1">
      <c r="B119" s="111"/>
      <c r="F119" s="31"/>
      <c r="O119" s="31"/>
    </row>
    <row r="120" ht="15.75" customHeight="1">
      <c r="B120" s="111"/>
      <c r="F120" s="31"/>
      <c r="O120" s="31"/>
    </row>
    <row r="121" ht="15.75" customHeight="1">
      <c r="B121" s="111"/>
      <c r="F121" s="31"/>
      <c r="O121" s="31"/>
    </row>
    <row r="122" ht="15.75" customHeight="1">
      <c r="B122" s="111"/>
      <c r="F122" s="31"/>
      <c r="O122" s="31"/>
    </row>
    <row r="123" ht="15.75" customHeight="1">
      <c r="B123" s="111"/>
      <c r="F123" s="31"/>
      <c r="O123" s="31"/>
    </row>
    <row r="124" ht="15.75" customHeight="1">
      <c r="B124" s="111"/>
      <c r="F124" s="31"/>
      <c r="O124" s="31"/>
    </row>
    <row r="125" ht="15.75" customHeight="1">
      <c r="B125" s="111"/>
      <c r="F125" s="31"/>
      <c r="O125" s="31"/>
    </row>
    <row r="126" ht="15.75" customHeight="1">
      <c r="B126" s="111"/>
      <c r="F126" s="31"/>
      <c r="O126" s="31"/>
    </row>
    <row r="127" ht="15.75" customHeight="1">
      <c r="B127" s="111"/>
      <c r="F127" s="31"/>
      <c r="O127" s="31"/>
    </row>
    <row r="128" ht="15.75" customHeight="1">
      <c r="B128" s="111"/>
      <c r="F128" s="31"/>
      <c r="O128" s="31"/>
    </row>
    <row r="129" ht="15.75" customHeight="1">
      <c r="B129" s="111"/>
      <c r="F129" s="31"/>
      <c r="O129" s="31"/>
    </row>
    <row r="130" ht="15.75" customHeight="1">
      <c r="B130" s="111"/>
      <c r="F130" s="31"/>
      <c r="O130" s="31"/>
    </row>
    <row r="131" ht="15.75" customHeight="1">
      <c r="B131" s="111"/>
      <c r="F131" s="31"/>
      <c r="O131" s="31"/>
    </row>
    <row r="132" ht="15.75" customHeight="1">
      <c r="B132" s="111"/>
      <c r="F132" s="31"/>
      <c r="O132" s="31"/>
    </row>
    <row r="133" ht="15.75" customHeight="1">
      <c r="B133" s="111"/>
      <c r="F133" s="31"/>
      <c r="O133" s="31"/>
    </row>
    <row r="134" ht="15.75" customHeight="1">
      <c r="B134" s="111"/>
      <c r="F134" s="31"/>
      <c r="O134" s="31"/>
    </row>
    <row r="135" ht="15.75" customHeight="1">
      <c r="B135" s="111"/>
      <c r="F135" s="31"/>
      <c r="O135" s="31"/>
    </row>
    <row r="136" ht="15.75" customHeight="1">
      <c r="B136" s="111"/>
      <c r="F136" s="31"/>
      <c r="O136" s="31"/>
    </row>
    <row r="137" ht="15.75" customHeight="1">
      <c r="B137" s="111"/>
      <c r="F137" s="31"/>
      <c r="O137" s="31"/>
    </row>
    <row r="138" ht="15.75" customHeight="1">
      <c r="B138" s="111"/>
      <c r="F138" s="31"/>
      <c r="O138" s="31"/>
    </row>
    <row r="139" ht="15.75" customHeight="1">
      <c r="B139" s="111"/>
      <c r="F139" s="31"/>
      <c r="O139" s="31"/>
    </row>
    <row r="140" ht="15.75" customHeight="1">
      <c r="B140" s="111"/>
      <c r="F140" s="31"/>
      <c r="O140" s="31"/>
    </row>
    <row r="141" ht="15.75" customHeight="1">
      <c r="B141" s="111"/>
      <c r="F141" s="31"/>
      <c r="O141" s="31"/>
    </row>
    <row r="142" ht="15.75" customHeight="1">
      <c r="B142" s="111"/>
      <c r="F142" s="31"/>
      <c r="O142" s="31"/>
    </row>
    <row r="143" ht="15.75" customHeight="1">
      <c r="B143" s="111"/>
      <c r="F143" s="31"/>
      <c r="O143" s="31"/>
    </row>
    <row r="144" ht="15.75" customHeight="1">
      <c r="B144" s="111"/>
      <c r="F144" s="31"/>
      <c r="O144" s="31"/>
    </row>
    <row r="145" ht="15.75" customHeight="1">
      <c r="B145" s="111"/>
      <c r="F145" s="31"/>
      <c r="O145" s="31"/>
    </row>
    <row r="146" ht="15.75" customHeight="1">
      <c r="B146" s="111"/>
      <c r="F146" s="31"/>
      <c r="O146" s="31"/>
    </row>
    <row r="147" ht="15.75" customHeight="1">
      <c r="B147" s="111"/>
      <c r="F147" s="31"/>
      <c r="O147" s="31"/>
    </row>
    <row r="148" ht="15.75" customHeight="1">
      <c r="B148" s="111"/>
      <c r="F148" s="31"/>
      <c r="O148" s="31"/>
    </row>
    <row r="149" ht="15.75" customHeight="1">
      <c r="B149" s="111"/>
      <c r="F149" s="31"/>
      <c r="O149" s="31"/>
    </row>
    <row r="150" ht="15.75" customHeight="1">
      <c r="B150" s="111"/>
      <c r="F150" s="31"/>
      <c r="O150" s="31"/>
    </row>
    <row r="151" ht="15.75" customHeight="1">
      <c r="B151" s="111"/>
      <c r="F151" s="31"/>
      <c r="O151" s="31"/>
    </row>
    <row r="152" ht="15.75" customHeight="1">
      <c r="B152" s="111"/>
      <c r="F152" s="31"/>
      <c r="O152" s="31"/>
    </row>
    <row r="153" ht="15.75" customHeight="1">
      <c r="B153" s="111"/>
      <c r="F153" s="31"/>
      <c r="O153" s="31"/>
    </row>
    <row r="154" ht="15.75" customHeight="1">
      <c r="B154" s="111"/>
      <c r="F154" s="31"/>
      <c r="O154" s="31"/>
    </row>
    <row r="155" ht="15.75" customHeight="1">
      <c r="B155" s="111"/>
      <c r="F155" s="31"/>
      <c r="O155" s="31"/>
    </row>
    <row r="156" ht="15.75" customHeight="1">
      <c r="B156" s="111"/>
      <c r="F156" s="31"/>
      <c r="O156" s="31"/>
    </row>
    <row r="157" ht="15.75" customHeight="1">
      <c r="B157" s="111"/>
      <c r="F157" s="31"/>
      <c r="O157" s="31"/>
    </row>
    <row r="158" ht="15.75" customHeight="1">
      <c r="B158" s="111"/>
      <c r="F158" s="31"/>
      <c r="O158" s="31"/>
    </row>
    <row r="159" ht="15.75" customHeight="1">
      <c r="B159" s="111"/>
      <c r="F159" s="31"/>
      <c r="O159" s="31"/>
    </row>
    <row r="160" ht="15.75" customHeight="1">
      <c r="B160" s="111"/>
      <c r="F160" s="31"/>
      <c r="O160" s="31"/>
    </row>
    <row r="161" ht="15.75" customHeight="1">
      <c r="B161" s="111"/>
      <c r="F161" s="31"/>
      <c r="O161" s="31"/>
    </row>
    <row r="162" ht="15.75" customHeight="1">
      <c r="B162" s="111"/>
      <c r="F162" s="31"/>
      <c r="O162" s="31"/>
    </row>
    <row r="163" ht="15.75" customHeight="1">
      <c r="B163" s="111"/>
      <c r="F163" s="31"/>
      <c r="O163" s="31"/>
    </row>
    <row r="164" ht="15.75" customHeight="1">
      <c r="B164" s="111"/>
      <c r="F164" s="31"/>
      <c r="O164" s="31"/>
    </row>
    <row r="165" ht="15.75" customHeight="1">
      <c r="B165" s="111"/>
      <c r="F165" s="31"/>
      <c r="O165" s="31"/>
    </row>
    <row r="166" ht="15.75" customHeight="1">
      <c r="B166" s="111"/>
      <c r="F166" s="31"/>
      <c r="O166" s="31"/>
    </row>
    <row r="167" ht="15.75" customHeight="1">
      <c r="B167" s="111"/>
      <c r="F167" s="31"/>
      <c r="O167" s="31"/>
    </row>
    <row r="168" ht="15.75" customHeight="1">
      <c r="B168" s="111"/>
      <c r="F168" s="31"/>
      <c r="O168" s="31"/>
    </row>
    <row r="169" ht="15.75" customHeight="1">
      <c r="B169" s="111"/>
      <c r="F169" s="31"/>
      <c r="O169" s="31"/>
    </row>
    <row r="170" ht="15.75" customHeight="1">
      <c r="B170" s="111"/>
      <c r="F170" s="31"/>
      <c r="O170" s="31"/>
    </row>
    <row r="171" ht="15.75" customHeight="1">
      <c r="B171" s="111"/>
      <c r="F171" s="31"/>
      <c r="O171" s="31"/>
    </row>
    <row r="172" ht="15.75" customHeight="1">
      <c r="B172" s="111"/>
      <c r="F172" s="31"/>
      <c r="O172" s="31"/>
    </row>
    <row r="173" ht="15.75" customHeight="1">
      <c r="B173" s="111"/>
      <c r="F173" s="31"/>
      <c r="O173" s="31"/>
    </row>
    <row r="174" ht="15.75" customHeight="1">
      <c r="B174" s="111"/>
      <c r="F174" s="31"/>
      <c r="O174" s="31"/>
    </row>
    <row r="175" ht="15.75" customHeight="1">
      <c r="B175" s="111"/>
      <c r="F175" s="31"/>
      <c r="O175" s="31"/>
    </row>
    <row r="176" ht="15.75" customHeight="1">
      <c r="B176" s="111"/>
      <c r="F176" s="31"/>
      <c r="O176" s="31"/>
    </row>
    <row r="177" ht="15.75" customHeight="1">
      <c r="B177" s="111"/>
      <c r="F177" s="31"/>
      <c r="O177" s="31"/>
    </row>
    <row r="178" ht="15.75" customHeight="1">
      <c r="B178" s="111"/>
      <c r="F178" s="31"/>
      <c r="O178" s="31"/>
    </row>
    <row r="179" ht="15.75" customHeight="1">
      <c r="B179" s="111"/>
      <c r="F179" s="31"/>
      <c r="O179" s="31"/>
    </row>
    <row r="180" ht="15.75" customHeight="1">
      <c r="B180" s="111"/>
      <c r="F180" s="31"/>
      <c r="O180" s="31"/>
    </row>
    <row r="181" ht="15.75" customHeight="1">
      <c r="B181" s="111"/>
      <c r="F181" s="31"/>
      <c r="O181" s="31"/>
    </row>
    <row r="182" ht="15.75" customHeight="1">
      <c r="B182" s="111"/>
      <c r="F182" s="31"/>
      <c r="O182" s="31"/>
    </row>
    <row r="183" ht="15.75" customHeight="1">
      <c r="B183" s="111"/>
      <c r="F183" s="31"/>
      <c r="O183" s="31"/>
    </row>
    <row r="184" ht="15.75" customHeight="1">
      <c r="B184" s="111"/>
      <c r="F184" s="31"/>
      <c r="O184" s="31"/>
    </row>
    <row r="185" ht="15.75" customHeight="1">
      <c r="B185" s="111"/>
      <c r="F185" s="31"/>
      <c r="O185" s="31"/>
    </row>
    <row r="186" ht="15.75" customHeight="1">
      <c r="B186" s="111"/>
      <c r="F186" s="31"/>
      <c r="O186" s="31"/>
    </row>
    <row r="187" ht="15.75" customHeight="1">
      <c r="B187" s="111"/>
      <c r="F187" s="31"/>
      <c r="O187" s="31"/>
    </row>
    <row r="188" ht="15.75" customHeight="1">
      <c r="B188" s="111"/>
      <c r="F188" s="31"/>
      <c r="O188" s="31"/>
    </row>
    <row r="189" ht="15.75" customHeight="1">
      <c r="B189" s="111"/>
      <c r="F189" s="31"/>
      <c r="O189" s="31"/>
    </row>
    <row r="190" ht="15.75" customHeight="1">
      <c r="B190" s="111"/>
      <c r="F190" s="31"/>
      <c r="O190" s="31"/>
    </row>
    <row r="191" ht="15.75" customHeight="1">
      <c r="B191" s="111"/>
      <c r="F191" s="31"/>
      <c r="O191" s="31"/>
    </row>
    <row r="192" ht="15.75" customHeight="1">
      <c r="B192" s="111"/>
      <c r="F192" s="31"/>
      <c r="O192" s="31"/>
    </row>
    <row r="193" ht="15.75" customHeight="1">
      <c r="B193" s="111"/>
      <c r="F193" s="31"/>
      <c r="O193" s="31"/>
    </row>
    <row r="194" ht="15.75" customHeight="1">
      <c r="B194" s="111"/>
      <c r="F194" s="31"/>
      <c r="O194" s="31"/>
    </row>
    <row r="195" ht="15.75" customHeight="1">
      <c r="B195" s="111"/>
      <c r="F195" s="31"/>
      <c r="O195" s="31"/>
    </row>
    <row r="196" ht="15.75" customHeight="1">
      <c r="B196" s="111"/>
      <c r="F196" s="31"/>
      <c r="O196" s="31"/>
    </row>
    <row r="197" ht="15.75" customHeight="1">
      <c r="B197" s="111"/>
      <c r="F197" s="31"/>
      <c r="O197" s="31"/>
    </row>
    <row r="198" ht="15.75" customHeight="1">
      <c r="B198" s="111"/>
      <c r="F198" s="31"/>
      <c r="O198" s="31"/>
    </row>
    <row r="199" ht="15.75" customHeight="1">
      <c r="B199" s="111"/>
      <c r="F199" s="31"/>
      <c r="O199" s="31"/>
    </row>
    <row r="200" ht="15.75" customHeight="1">
      <c r="B200" s="111"/>
      <c r="F200" s="31"/>
      <c r="O200" s="31"/>
    </row>
    <row r="201" ht="15.75" customHeight="1">
      <c r="B201" s="111"/>
      <c r="F201" s="31"/>
      <c r="O201" s="31"/>
    </row>
    <row r="202" ht="15.75" customHeight="1">
      <c r="B202" s="111"/>
      <c r="F202" s="31"/>
      <c r="O202" s="31"/>
    </row>
    <row r="203" ht="15.75" customHeight="1">
      <c r="B203" s="111"/>
      <c r="F203" s="31"/>
      <c r="O203" s="31"/>
    </row>
    <row r="204" ht="15.75" customHeight="1">
      <c r="B204" s="111"/>
      <c r="F204" s="31"/>
      <c r="O204" s="31"/>
    </row>
    <row r="205" ht="15.75" customHeight="1">
      <c r="B205" s="111"/>
      <c r="F205" s="31"/>
      <c r="O205" s="31"/>
    </row>
    <row r="206" ht="15.75" customHeight="1">
      <c r="B206" s="111"/>
      <c r="F206" s="31"/>
      <c r="O206" s="31"/>
    </row>
    <row r="207" ht="15.75" customHeight="1">
      <c r="B207" s="111"/>
      <c r="F207" s="31"/>
      <c r="O207" s="31"/>
    </row>
    <row r="208" ht="15.75" customHeight="1">
      <c r="B208" s="111"/>
      <c r="F208" s="31"/>
      <c r="O208" s="31"/>
    </row>
    <row r="209" ht="15.75" customHeight="1">
      <c r="B209" s="111"/>
      <c r="F209" s="31"/>
      <c r="O209" s="31"/>
    </row>
    <row r="210" ht="15.75" customHeight="1">
      <c r="B210" s="111"/>
      <c r="F210" s="31"/>
      <c r="O210" s="31"/>
    </row>
    <row r="211" ht="15.75" customHeight="1">
      <c r="B211" s="111"/>
      <c r="F211" s="31"/>
      <c r="O211" s="31"/>
    </row>
    <row r="212" ht="15.75" customHeight="1">
      <c r="B212" s="111"/>
      <c r="F212" s="31"/>
      <c r="O212" s="31"/>
    </row>
    <row r="213" ht="15.75" customHeight="1">
      <c r="B213" s="111"/>
      <c r="F213" s="31"/>
      <c r="O213" s="31"/>
    </row>
    <row r="214" ht="15.75" customHeight="1">
      <c r="B214" s="111"/>
      <c r="F214" s="31"/>
      <c r="O214" s="31"/>
    </row>
    <row r="215" ht="15.75" customHeight="1">
      <c r="B215" s="111"/>
      <c r="F215" s="31"/>
      <c r="O215" s="31"/>
    </row>
    <row r="216" ht="15.75" customHeight="1">
      <c r="B216" s="111"/>
      <c r="F216" s="31"/>
      <c r="O216" s="31"/>
    </row>
    <row r="217" ht="15.75" customHeight="1">
      <c r="B217" s="111"/>
      <c r="F217" s="31"/>
      <c r="O217" s="31"/>
    </row>
    <row r="218" ht="15.75" customHeight="1">
      <c r="B218" s="111"/>
      <c r="F218" s="31"/>
      <c r="O218" s="31"/>
    </row>
    <row r="219" ht="15.75" customHeight="1">
      <c r="B219" s="111"/>
      <c r="F219" s="31"/>
      <c r="O219" s="31"/>
    </row>
    <row r="220" ht="15.75" customHeight="1">
      <c r="B220" s="111"/>
      <c r="F220" s="31"/>
      <c r="O220" s="31"/>
    </row>
    <row r="221" ht="15.75" customHeight="1">
      <c r="B221" s="111"/>
      <c r="F221" s="31"/>
      <c r="O221" s="31"/>
    </row>
    <row r="222" ht="15.75" customHeight="1">
      <c r="B222" s="111"/>
      <c r="F222" s="31"/>
      <c r="O222" s="31"/>
    </row>
    <row r="223" ht="15.75" customHeight="1">
      <c r="B223" s="111"/>
      <c r="F223" s="31"/>
      <c r="O223" s="31"/>
    </row>
    <row r="224" ht="15.75" customHeight="1">
      <c r="B224" s="111"/>
      <c r="F224" s="31"/>
      <c r="O224" s="31"/>
    </row>
    <row r="225" ht="15.75" customHeight="1">
      <c r="B225" s="111"/>
      <c r="F225" s="31"/>
      <c r="O225" s="31"/>
    </row>
    <row r="226" ht="15.75" customHeight="1">
      <c r="B226" s="111"/>
      <c r="F226" s="31"/>
      <c r="O226" s="31"/>
    </row>
    <row r="227" ht="15.75" customHeight="1">
      <c r="B227" s="111"/>
      <c r="F227" s="31"/>
      <c r="O227" s="31"/>
    </row>
    <row r="228" ht="15.75" customHeight="1">
      <c r="B228" s="111"/>
      <c r="F228" s="31"/>
      <c r="O228" s="31"/>
    </row>
    <row r="229" ht="15.75" customHeight="1">
      <c r="B229" s="111"/>
      <c r="F229" s="31"/>
      <c r="O229" s="31"/>
    </row>
    <row r="230" ht="15.75" customHeight="1">
      <c r="B230" s="111"/>
      <c r="F230" s="31"/>
      <c r="O230" s="31"/>
    </row>
    <row r="231" ht="15.75" customHeight="1">
      <c r="B231" s="111"/>
      <c r="F231" s="31"/>
      <c r="O231" s="31"/>
    </row>
    <row r="232" ht="15.75" customHeight="1">
      <c r="B232" s="111"/>
      <c r="F232" s="31"/>
      <c r="O232" s="31"/>
    </row>
    <row r="233" ht="15.75" customHeight="1">
      <c r="B233" s="111"/>
      <c r="F233" s="31"/>
      <c r="O233" s="31"/>
    </row>
    <row r="234" ht="15.75" customHeight="1">
      <c r="B234" s="111"/>
      <c r="F234" s="31"/>
      <c r="O234" s="31"/>
    </row>
    <row r="235" ht="15.75" customHeight="1">
      <c r="B235" s="111"/>
      <c r="F235" s="31"/>
      <c r="O235" s="3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13">
    <mergeCell ref="M13:M14"/>
    <mergeCell ref="O13:O14"/>
    <mergeCell ref="P13:P14"/>
    <mergeCell ref="Q13:Q14"/>
    <mergeCell ref="A13:A14"/>
    <mergeCell ref="B13:B14"/>
    <mergeCell ref="C13:C14"/>
    <mergeCell ref="D13:D14"/>
    <mergeCell ref="E13:E14"/>
    <mergeCell ref="K13:K14"/>
    <mergeCell ref="L13:L14"/>
    <mergeCell ref="M15:M16"/>
    <mergeCell ref="O15:O16"/>
    <mergeCell ref="P15:P16"/>
    <mergeCell ref="Q15:Q16"/>
    <mergeCell ref="A15:A16"/>
    <mergeCell ref="B15:B16"/>
    <mergeCell ref="C15:C16"/>
    <mergeCell ref="D15:D16"/>
    <mergeCell ref="E15:E16"/>
    <mergeCell ref="K15:K16"/>
    <mergeCell ref="L15:L16"/>
    <mergeCell ref="M17:M18"/>
    <mergeCell ref="N17:N18"/>
    <mergeCell ref="A17:A18"/>
    <mergeCell ref="B17:B18"/>
    <mergeCell ref="C17:C18"/>
    <mergeCell ref="D17:D18"/>
    <mergeCell ref="E17:E18"/>
    <mergeCell ref="K17:K18"/>
    <mergeCell ref="L17:L18"/>
    <mergeCell ref="M19:M20"/>
    <mergeCell ref="N19:N20"/>
    <mergeCell ref="A19:A20"/>
    <mergeCell ref="B19:B20"/>
    <mergeCell ref="C19:C20"/>
    <mergeCell ref="D19:D20"/>
    <mergeCell ref="E19:E20"/>
    <mergeCell ref="K19:K20"/>
    <mergeCell ref="L19:L20"/>
    <mergeCell ref="M29:M30"/>
    <mergeCell ref="N29:N30"/>
    <mergeCell ref="A29:A30"/>
    <mergeCell ref="B29:B30"/>
    <mergeCell ref="C29:C30"/>
    <mergeCell ref="D29:D30"/>
    <mergeCell ref="E29:E30"/>
    <mergeCell ref="K29:K30"/>
    <mergeCell ref="L29:L30"/>
    <mergeCell ref="M31:M32"/>
    <mergeCell ref="O31:O32"/>
    <mergeCell ref="P31:P32"/>
    <mergeCell ref="Q31:Q32"/>
    <mergeCell ref="A31:A32"/>
    <mergeCell ref="B31:B32"/>
    <mergeCell ref="C31:C32"/>
    <mergeCell ref="D31:D32"/>
    <mergeCell ref="E31:E32"/>
    <mergeCell ref="K31:K32"/>
    <mergeCell ref="L31:L32"/>
    <mergeCell ref="C26:C27"/>
    <mergeCell ref="D26:D27"/>
    <mergeCell ref="A22:A23"/>
    <mergeCell ref="B22:B23"/>
    <mergeCell ref="C22:C23"/>
    <mergeCell ref="D22:D23"/>
    <mergeCell ref="E22:E23"/>
    <mergeCell ref="A26:A27"/>
    <mergeCell ref="B26:B27"/>
    <mergeCell ref="E26:E27"/>
    <mergeCell ref="D4:E4"/>
    <mergeCell ref="I4:J4"/>
    <mergeCell ref="B6:D6"/>
    <mergeCell ref="I6:J6"/>
    <mergeCell ref="D8:F8"/>
    <mergeCell ref="G8:J8"/>
    <mergeCell ref="K8:M8"/>
    <mergeCell ref="O9:O10"/>
    <mergeCell ref="P9:P10"/>
    <mergeCell ref="Q9:Q10"/>
    <mergeCell ref="H9:H10"/>
    <mergeCell ref="I9:I10"/>
    <mergeCell ref="J9:J10"/>
    <mergeCell ref="K9:K10"/>
    <mergeCell ref="L9:L10"/>
    <mergeCell ref="M9:M10"/>
    <mergeCell ref="N9:N10"/>
    <mergeCell ref="M11:M12"/>
    <mergeCell ref="O11:O12"/>
    <mergeCell ref="P11:P12"/>
    <mergeCell ref="Q11:Q12"/>
    <mergeCell ref="K26:K27"/>
    <mergeCell ref="L26:L27"/>
    <mergeCell ref="M26:M27"/>
    <mergeCell ref="N26:N27"/>
    <mergeCell ref="A11:A12"/>
    <mergeCell ref="B11:B12"/>
    <mergeCell ref="C11:C12"/>
    <mergeCell ref="D11:D12"/>
    <mergeCell ref="E11:E12"/>
    <mergeCell ref="K11:K12"/>
    <mergeCell ref="L11:L12"/>
    <mergeCell ref="B33:C33"/>
    <mergeCell ref="D33:E33"/>
    <mergeCell ref="G33:L33"/>
    <mergeCell ref="P33:Q33"/>
    <mergeCell ref="A9:A10"/>
    <mergeCell ref="B9:B10"/>
    <mergeCell ref="C9:C10"/>
    <mergeCell ref="D9:D10"/>
    <mergeCell ref="E9:E10"/>
    <mergeCell ref="F9:F10"/>
    <mergeCell ref="G9:G10"/>
  </mergeCells>
  <printOptions/>
  <pageMargins bottom="0.15748031496062992" footer="0.0" header="0.0" left="0.31496062992125984" right="0.11811023622047245" top="0.35433070866141736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2026-05-27T15:07:22Z</dcterms:created>
  <dc:creator>HERBERT PHOCCO</dc:creator>
</cp:coreProperties>
</file>