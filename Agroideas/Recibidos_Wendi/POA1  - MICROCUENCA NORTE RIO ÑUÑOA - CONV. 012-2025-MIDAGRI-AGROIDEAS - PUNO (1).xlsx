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C:\Users\HERBERT PHOCCO\Desktop\NORTE RIO ÑUNOA\"/>
    </mc:Choice>
  </mc:AlternateContent>
  <xr:revisionPtr revIDLastSave="0" documentId="13_ncr:1_{3E220EB4-3203-4B86-AE9A-01E4A5FA7100}" xr6:coauthVersionLast="36" xr6:coauthVersionMax="36" xr10:uidLastSave="{00000000-0000-0000-0000-000000000000}"/>
  <bookViews>
    <workbookView xWindow="0" yWindow="0" windowWidth="23040" windowHeight="8364" tabRatio="692" activeTab="4" xr2:uid="{00000000-000D-0000-FFFF-FFFF00000000}"/>
  </bookViews>
  <sheets>
    <sheet name="Caratula" sheetId="14" r:id="rId1"/>
    <sheet name="Formato 01" sheetId="8" r:id="rId2"/>
    <sheet name="Formato 02A" sheetId="17" r:id="rId3"/>
    <sheet name="Formato 02B" sheetId="20" r:id="rId4"/>
    <sheet name="Formato 03" sheetId="2" r:id="rId5"/>
    <sheet name="xxxxxxxxxx" sheetId="19" state="hidden" r:id="rId6"/>
    <sheet name="Hoja1" sheetId="15" state="hidden" r:id="rId7"/>
  </sheets>
  <definedNames>
    <definedName name="_xlnm.Print_Area" localSheetId="0">Caratula!$A$1:$L$32</definedName>
    <definedName name="_xlnm.Print_Area" localSheetId="1">'Formato 01'!$B$2:$O$28</definedName>
  </definedNames>
  <calcPr calcId="191029"/>
</workbook>
</file>

<file path=xl/calcChain.xml><?xml version="1.0" encoding="utf-8"?>
<calcChain xmlns="http://schemas.openxmlformats.org/spreadsheetml/2006/main">
  <c r="I21" i="14" l="1"/>
  <c r="Q18" i="8" l="1"/>
  <c r="N4" i="8"/>
  <c r="O6" i="8"/>
  <c r="O5" i="8"/>
  <c r="N6" i="8"/>
  <c r="N5" i="8"/>
  <c r="J1" i="8"/>
  <c r="H18" i="2" l="1"/>
  <c r="H24" i="2" s="1"/>
  <c r="H26" i="2" s="1"/>
  <c r="G18" i="2"/>
  <c r="G24" i="2" s="1"/>
  <c r="G26" i="2" s="1"/>
  <c r="H15" i="2"/>
  <c r="G15" i="2"/>
  <c r="J13" i="2"/>
  <c r="J15" i="2" s="1"/>
  <c r="I13" i="2"/>
  <c r="I15" i="2" s="1"/>
  <c r="C24" i="20"/>
  <c r="C23" i="20"/>
  <c r="E23" i="20"/>
  <c r="E14" i="20"/>
  <c r="J16" i="17"/>
  <c r="H22" i="17"/>
  <c r="H21" i="17"/>
  <c r="H20" i="17"/>
  <c r="H19" i="17"/>
  <c r="J19" i="17" s="1"/>
  <c r="H18" i="17"/>
  <c r="J18" i="17" s="1"/>
  <c r="G18" i="17"/>
  <c r="E15" i="17"/>
  <c r="M19" i="8"/>
  <c r="N19" i="8" s="1"/>
  <c r="M18" i="8"/>
  <c r="N18" i="8" s="1"/>
  <c r="O18" i="8" l="1"/>
  <c r="H18" i="20"/>
  <c r="K18" i="20" s="1"/>
  <c r="H19" i="20"/>
  <c r="K19" i="20" s="1"/>
  <c r="J18" i="2"/>
  <c r="J24" i="2" s="1"/>
  <c r="J26" i="2" s="1"/>
  <c r="I18" i="2"/>
  <c r="I24" i="2" s="1"/>
  <c r="I26" i="2" s="1"/>
  <c r="O19" i="8"/>
  <c r="P22" i="8"/>
  <c r="J27" i="2" l="1"/>
  <c r="I27" i="2"/>
  <c r="H27" i="2"/>
  <c r="G27" i="2"/>
  <c r="C24" i="17"/>
  <c r="K27" i="2" l="1"/>
  <c r="G16" i="17" l="1"/>
  <c r="M16" i="8"/>
  <c r="H16" i="20" s="1"/>
  <c r="K16" i="20" s="1"/>
  <c r="O16" i="8" l="1"/>
  <c r="N16" i="8"/>
  <c r="K13" i="2"/>
  <c r="K15" i="2" l="1"/>
  <c r="K18" i="2"/>
  <c r="K24" i="2" s="1"/>
  <c r="K26" i="2" s="1"/>
  <c r="J28" i="2"/>
  <c r="I28" i="2"/>
  <c r="K28" i="2" l="1"/>
  <c r="E22" i="20" l="1"/>
  <c r="E21" i="20"/>
  <c r="E20" i="20"/>
  <c r="E17" i="20"/>
  <c r="E15" i="20"/>
  <c r="N22" i="17"/>
  <c r="N20" i="17"/>
  <c r="N21" i="17"/>
  <c r="H17" i="17"/>
  <c r="J17" i="17" s="1"/>
  <c r="H15" i="17"/>
  <c r="J15" i="17" s="1"/>
  <c r="G17" i="17"/>
  <c r="G15" i="17"/>
  <c r="G14" i="17"/>
  <c r="E17" i="17"/>
  <c r="E14" i="17"/>
  <c r="E13" i="17"/>
  <c r="C23" i="17"/>
  <c r="C20" i="17"/>
  <c r="C13" i="17"/>
  <c r="M23" i="8" l="1"/>
  <c r="H22" i="20" s="1"/>
  <c r="N22" i="20" s="1"/>
  <c r="M22" i="8"/>
  <c r="H21" i="20" s="1"/>
  <c r="N21" i="20" s="1"/>
  <c r="M15" i="8"/>
  <c r="O22" i="8" l="1"/>
  <c r="N22" i="8"/>
  <c r="O23" i="8"/>
  <c r="N23" i="8"/>
  <c r="N15" i="8"/>
  <c r="H15" i="20"/>
  <c r="K15" i="20" s="1"/>
  <c r="O15" i="8"/>
  <c r="G13" i="17" l="1"/>
  <c r="G23" i="17"/>
  <c r="H13" i="17"/>
  <c r="J13" i="17" s="1"/>
  <c r="H14" i="17"/>
  <c r="J14" i="17" s="1"/>
  <c r="E25" i="20" l="1"/>
  <c r="E24" i="20"/>
  <c r="C20" i="20"/>
  <c r="E13" i="20"/>
  <c r="C13" i="20"/>
  <c r="M21" i="8"/>
  <c r="M20" i="8" s="1"/>
  <c r="O21" i="8" l="1"/>
  <c r="O20" i="8" s="1"/>
  <c r="H20" i="20"/>
  <c r="N20" i="20" s="1"/>
  <c r="N21" i="8"/>
  <c r="N20" i="8" s="1"/>
  <c r="D7" i="2" l="1"/>
  <c r="D8" i="2"/>
  <c r="D9" i="2"/>
  <c r="H25" i="17" l="1"/>
  <c r="E25" i="17"/>
  <c r="M13" i="8"/>
  <c r="M14" i="8"/>
  <c r="H14" i="20" l="1"/>
  <c r="K14" i="20" s="1"/>
  <c r="H13" i="20"/>
  <c r="K13" i="20" s="1"/>
  <c r="D9" i="20"/>
  <c r="D8" i="20"/>
  <c r="D7" i="20"/>
  <c r="D9" i="17" l="1"/>
  <c r="D7" i="17"/>
  <c r="D8" i="17"/>
  <c r="E7" i="8"/>
  <c r="E6" i="8"/>
  <c r="E5" i="8"/>
  <c r="E3" i="19" l="1"/>
  <c r="F3" i="19" s="1"/>
  <c r="G3" i="19" s="1"/>
  <c r="E4" i="19"/>
  <c r="F4" i="19" s="1"/>
  <c r="G4" i="19" s="1"/>
  <c r="E5" i="19"/>
  <c r="F5" i="19" s="1"/>
  <c r="G5" i="19" s="1"/>
  <c r="E2" i="19"/>
  <c r="F2" i="19" s="1"/>
  <c r="G2" i="19" s="1"/>
  <c r="D3" i="19"/>
  <c r="D4" i="19"/>
  <c r="D5" i="19"/>
  <c r="D2" i="19"/>
  <c r="H24" i="17" l="1"/>
  <c r="H23" i="17"/>
  <c r="N23" i="17" s="1"/>
  <c r="M28" i="8" l="1"/>
  <c r="H25" i="20" s="1"/>
  <c r="J25" i="20" s="1"/>
  <c r="M27" i="8"/>
  <c r="M25" i="8"/>
  <c r="O14" i="8"/>
  <c r="M17" i="8"/>
  <c r="M12" i="8" s="1"/>
  <c r="M24" i="8" l="1"/>
  <c r="H23" i="20"/>
  <c r="N23" i="20" s="1"/>
  <c r="M26" i="8"/>
  <c r="O26" i="8" s="1"/>
  <c r="H17" i="20"/>
  <c r="K17" i="20" s="1"/>
  <c r="H24" i="20"/>
  <c r="O17" i="8"/>
  <c r="N27" i="8"/>
  <c r="N25" i="8"/>
  <c r="N28" i="8"/>
  <c r="O28" i="8"/>
  <c r="O25" i="8"/>
  <c r="O27" i="8"/>
  <c r="N17" i="8"/>
  <c r="N14" i="8"/>
  <c r="E24" i="17"/>
  <c r="E23" i="17"/>
  <c r="O13" i="8"/>
  <c r="O12" i="8" l="1"/>
  <c r="N26" i="8"/>
  <c r="M10" i="8"/>
  <c r="I19" i="14" s="1"/>
  <c r="I18" i="14" s="1"/>
  <c r="O10" i="8"/>
  <c r="N24" i="8"/>
  <c r="O24" i="8"/>
  <c r="N13" i="8"/>
  <c r="N12" i="8" s="1"/>
  <c r="N10" i="8" s="1"/>
  <c r="N11" i="8" s="1"/>
  <c r="I17" i="14" l="1"/>
  <c r="K19" i="14"/>
  <c r="O11"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NILSER</author>
  </authors>
  <commentList>
    <comment ref="J7" authorId="0" shapeId="0" xr:uid="{00000000-0006-0000-0000-000001000000}">
      <text>
        <r>
          <rPr>
            <b/>
            <sz val="9"/>
            <color indexed="81"/>
            <rFont val="Tahoma"/>
            <family val="2"/>
          </rPr>
          <t>NILSER:</t>
        </r>
        <r>
          <rPr>
            <sz val="9"/>
            <color indexed="81"/>
            <rFont val="Tahoma"/>
            <family val="2"/>
          </rPr>
          <t xml:space="preserve">
RUC de la OA</t>
        </r>
      </text>
    </comment>
    <comment ref="L7" authorId="0" shapeId="0" xr:uid="{00000000-0006-0000-0000-000002000000}">
      <text>
        <r>
          <rPr>
            <b/>
            <sz val="9"/>
            <color indexed="81"/>
            <rFont val="Tahoma"/>
            <family val="2"/>
          </rPr>
          <t>NILSER:</t>
        </r>
        <r>
          <rPr>
            <sz val="9"/>
            <color indexed="81"/>
            <rFont val="Tahoma"/>
            <family val="2"/>
          </rPr>
          <t xml:space="preserve">
según plan de Negocios</t>
        </r>
      </text>
    </comment>
    <comment ref="L8" authorId="0" shapeId="0" xr:uid="{00000000-0006-0000-0000-000003000000}">
      <text>
        <r>
          <rPr>
            <b/>
            <sz val="9"/>
            <color indexed="81"/>
            <rFont val="Tahoma"/>
            <family val="2"/>
          </rPr>
          <t>NILSER:</t>
        </r>
        <r>
          <rPr>
            <sz val="9"/>
            <color indexed="81"/>
            <rFont val="Tahoma"/>
            <family val="2"/>
          </rPr>
          <t xml:space="preserve">
según plan de negocios</t>
        </r>
      </text>
    </comment>
    <comment ref="I13" authorId="0" shapeId="0" xr:uid="{00000000-0006-0000-0000-000004000000}">
      <text>
        <r>
          <rPr>
            <b/>
            <sz val="9"/>
            <color indexed="81"/>
            <rFont val="Tahoma"/>
            <family val="2"/>
          </rPr>
          <t>NILSER:</t>
        </r>
        <r>
          <rPr>
            <sz val="9"/>
            <color indexed="81"/>
            <rFont val="Tahoma"/>
            <family val="2"/>
          </rPr>
          <t xml:space="preserve">
llenar según aplicativo movil o dejar en blanco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NILSER</author>
  </authors>
  <commentList>
    <comment ref="C12" authorId="0" shapeId="0" xr:uid="{00000000-0006-0000-0100-000001000000}">
      <text>
        <r>
          <rPr>
            <b/>
            <sz val="9"/>
            <color indexed="81"/>
            <rFont val="Tahoma"/>
            <family val="2"/>
          </rPr>
          <t>NILSER:</t>
        </r>
        <r>
          <rPr>
            <sz val="9"/>
            <color indexed="81"/>
            <rFont val="Tahoma"/>
            <family val="2"/>
          </rPr>
          <t xml:space="preserve">
solucion tecnologica de acuerdo a la T21 del PNT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NILSER</author>
  </authors>
  <commentList>
    <comment ref="C11" authorId="0" shapeId="0" xr:uid="{00000000-0006-0000-0400-000001000000}">
      <text>
        <r>
          <rPr>
            <b/>
            <sz val="9"/>
            <color indexed="81"/>
            <rFont val="Tahoma"/>
            <family val="2"/>
          </rPr>
          <t>NILSER:</t>
        </r>
        <r>
          <rPr>
            <sz val="9"/>
            <color indexed="81"/>
            <rFont val="Tahoma"/>
            <family val="2"/>
          </rPr>
          <t xml:space="preserve">
agregar indicadores según el Plan de ventas del PNT</t>
        </r>
      </text>
    </comment>
    <comment ref="B13" authorId="0" shapeId="0" xr:uid="{00000000-0006-0000-0400-000002000000}">
      <text>
        <r>
          <rPr>
            <b/>
            <sz val="9"/>
            <color indexed="81"/>
            <rFont val="Tahoma"/>
            <family val="2"/>
          </rPr>
          <t>NILSER:</t>
        </r>
        <r>
          <rPr>
            <sz val="9"/>
            <color indexed="81"/>
            <rFont val="Tahoma"/>
            <family val="2"/>
          </rPr>
          <t xml:space="preserve">
según plan de produccion del PNT</t>
        </r>
      </text>
    </comment>
    <comment ref="C13" authorId="0" shapeId="0" xr:uid="{00000000-0006-0000-0400-000003000000}">
      <text>
        <r>
          <rPr>
            <b/>
            <sz val="9"/>
            <color indexed="81"/>
            <rFont val="Tahoma"/>
            <family val="2"/>
          </rPr>
          <t>NILSER:</t>
        </r>
        <r>
          <rPr>
            <sz val="9"/>
            <color indexed="81"/>
            <rFont val="Tahoma"/>
            <family val="2"/>
          </rPr>
          <t xml:space="preserve">
según plan de ventas del PNT</t>
        </r>
      </text>
    </comment>
    <comment ref="L13" authorId="0" shapeId="0" xr:uid="{00000000-0006-0000-0400-000004000000}">
      <text>
        <r>
          <rPr>
            <b/>
            <sz val="9"/>
            <color indexed="81"/>
            <rFont val="Tahoma"/>
            <family val="2"/>
          </rPr>
          <t>NILSER:</t>
        </r>
        <r>
          <rPr>
            <sz val="9"/>
            <color indexed="81"/>
            <rFont val="Tahoma"/>
            <family val="2"/>
          </rPr>
          <t xml:space="preserve">
Registro de produccion de campo</t>
        </r>
      </text>
    </comment>
  </commentList>
</comments>
</file>

<file path=xl/sharedStrings.xml><?xml version="1.0" encoding="utf-8"?>
<sst xmlns="http://schemas.openxmlformats.org/spreadsheetml/2006/main" count="284" uniqueCount="173">
  <si>
    <t>PRIMER POA</t>
  </si>
  <si>
    <t>Provincia</t>
  </si>
  <si>
    <t>Distrito</t>
  </si>
  <si>
    <t>Firma</t>
  </si>
  <si>
    <t>POA:</t>
  </si>
  <si>
    <t>RUC:</t>
  </si>
  <si>
    <t>Plan de Negocios:</t>
  </si>
  <si>
    <t>#</t>
  </si>
  <si>
    <t>Unidad de Medida</t>
  </si>
  <si>
    <t>%</t>
  </si>
  <si>
    <t>AGROIDEAS S/.</t>
  </si>
  <si>
    <t>OPA S/.</t>
  </si>
  <si>
    <t>Especificación del Bien / Servicio</t>
  </si>
  <si>
    <t>Cantidad</t>
  </si>
  <si>
    <t>Costo Unitario S/.</t>
  </si>
  <si>
    <t>TOTAL GENERAL</t>
  </si>
  <si>
    <t>Producto o Actividad:</t>
  </si>
  <si>
    <t>1.1. Mecanizacion del Proceso productivo de la Quinua</t>
  </si>
  <si>
    <t>Sub Total 1.1.</t>
  </si>
  <si>
    <t>Sub Total 1.2.</t>
  </si>
  <si>
    <t>Sub Total 1.3.</t>
  </si>
  <si>
    <t>Nombre OA:</t>
  </si>
  <si>
    <t>N° de Convenio:</t>
  </si>
  <si>
    <t>Periodo de Trabajo:</t>
  </si>
  <si>
    <t>Nombre de la Organización:</t>
  </si>
  <si>
    <t>Localidad</t>
  </si>
  <si>
    <t>Coordenadas Geográficas</t>
  </si>
  <si>
    <t>Latitud</t>
  </si>
  <si>
    <t>Longitud</t>
  </si>
  <si>
    <t>AGROIDEAS (S/. )</t>
  </si>
  <si>
    <t>Total (S/. )</t>
  </si>
  <si>
    <t>Representante Legal de la OA</t>
  </si>
  <si>
    <t>N° Acta de CD:</t>
  </si>
  <si>
    <t>Departamento</t>
  </si>
  <si>
    <t>N° de Socios:</t>
  </si>
  <si>
    <t>Has según PN:</t>
  </si>
  <si>
    <t>Coordinador de la UR</t>
  </si>
  <si>
    <t xml:space="preserve">CO Financiamiento </t>
  </si>
  <si>
    <t xml:space="preserve">POA 1: Presupuesto S/. </t>
  </si>
  <si>
    <t>AÑO 0</t>
  </si>
  <si>
    <t>ACTIVIDAD</t>
  </si>
  <si>
    <t>Costo Total Aprobado S/.</t>
  </si>
  <si>
    <t>PARTICIPACIÓN PRESUPUESTAL</t>
  </si>
  <si>
    <t>PRESUPUESTO APROBADO EN EL PLAN DE NEGOCIO</t>
  </si>
  <si>
    <t>OA (S/. )</t>
  </si>
  <si>
    <t>dj HASTA K GRADO DE CCONSANGUIEDAD</t>
  </si>
  <si>
    <t>PC1</t>
  </si>
  <si>
    <t>PC2</t>
  </si>
  <si>
    <t>POA 1</t>
  </si>
  <si>
    <t>INFORMACIÓN GENERAL DEL PLAN DE NEGOCIO</t>
  </si>
  <si>
    <t>Jefatura de la UM</t>
  </si>
  <si>
    <t>FORMATO 01 - PLAN DE ADQUISICIONES DE EQUIPOS, INSUMOS Y SERVICIOS</t>
  </si>
  <si>
    <t>12 meses</t>
  </si>
  <si>
    <t>Fecha de Inicio</t>
  </si>
  <si>
    <t>Fecha de Fin</t>
  </si>
  <si>
    <t>GEOREFERENCIACIÓN DEL PLAN DE NEGOCIO</t>
  </si>
  <si>
    <t>MEDIO DE VERIFICACIÓN</t>
  </si>
  <si>
    <t>UNIDAD DE MEDIDA</t>
  </si>
  <si>
    <t>IMPACTO AMBIENTAL</t>
  </si>
  <si>
    <t>LINEA BASE</t>
  </si>
  <si>
    <t>META</t>
  </si>
  <si>
    <t>INFORMACIÓN GENERAL DEL PLAN OPERATIVO DEL PLAN DE NEGOCIOS DE ADOPCIÓN DE TECNOLOGÍA</t>
  </si>
  <si>
    <t>Nombre del Plan de Negocios:</t>
  </si>
  <si>
    <t xml:space="preserve">PLAN DE COFINANCIAMIENTO </t>
  </si>
  <si>
    <t xml:space="preserve">CRONOGRAMA DE EJECUCIÓN </t>
  </si>
  <si>
    <t>PC 01</t>
  </si>
  <si>
    <t>PC 02</t>
  </si>
  <si>
    <t>FORMATO 03 - INDICADORES DE SEGUIMIENTO Y MONITOREO DEL PLAN DE NEGOCIO</t>
  </si>
  <si>
    <t>OBJETIVO ESPECÍFICO</t>
  </si>
  <si>
    <t>META PN</t>
  </si>
  <si>
    <t>(3 años)</t>
  </si>
  <si>
    <t>META DEL POA</t>
  </si>
  <si>
    <t>Acumulado</t>
  </si>
  <si>
    <t>METAS DEL POA POR 
PASO CRÍTICO</t>
  </si>
  <si>
    <t>Porcentaje de Cofinanciamiento</t>
  </si>
  <si>
    <t>NOTA:
Los indicadores del presente formato, deberán estar expuestos y claramente sustentados dentro de los RTFs, así mismo, deberán estar directamente alineados a los indicadores del PNT.</t>
  </si>
  <si>
    <t>PASO CRÍTICO</t>
  </si>
  <si>
    <t>PRODUCTIVIDAD</t>
  </si>
  <si>
    <t>Objetivo Especifico / Actividad</t>
  </si>
  <si>
    <t>Unidad</t>
  </si>
  <si>
    <t>OBJETIVO ESPECIFICO</t>
  </si>
  <si>
    <t>Acta de Entrega Recepción</t>
  </si>
  <si>
    <t>INDICADOR</t>
  </si>
  <si>
    <t xml:space="preserve"> </t>
  </si>
  <si>
    <t>Informe</t>
  </si>
  <si>
    <t>TIPO</t>
  </si>
  <si>
    <t>TOTAL QQ</t>
  </si>
  <si>
    <t>QQ/HA</t>
  </si>
  <si>
    <t>HA</t>
  </si>
  <si>
    <t>KG/HA</t>
  </si>
  <si>
    <t>TOTAL KG</t>
  </si>
  <si>
    <t>TOTAL t</t>
  </si>
  <si>
    <t>Mes</t>
  </si>
  <si>
    <t>JORNALES</t>
  </si>
  <si>
    <t>Puno</t>
  </si>
  <si>
    <t>Soles</t>
  </si>
  <si>
    <t>I PC</t>
  </si>
  <si>
    <t>FORMATO 02A - PROGRAMACIÓN  FÍSICA DE ACTIVIDADES POR PASO CRITICO</t>
  </si>
  <si>
    <t>FORMATO 02B - PROGRAMACIÓN FINANCIERA DE ACTIVIDADES POR PASO CRITICO</t>
  </si>
  <si>
    <t>Equipamiento para la realización de labores culturales oportunas</t>
  </si>
  <si>
    <t xml:space="preserve">Actas de Asistencia del personal </t>
  </si>
  <si>
    <t>Actas de registro de producción</t>
  </si>
  <si>
    <t>Jornales (N° de Jornales Año)</t>
  </si>
  <si>
    <t xml:space="preserve">Coordinador del PNT </t>
  </si>
  <si>
    <t>I PC y II PC</t>
  </si>
  <si>
    <t>Comprobantes de Venta</t>
  </si>
  <si>
    <t>Rollos</t>
  </si>
  <si>
    <t>PNT</t>
  </si>
  <si>
    <t>Ingreso total (S/.)</t>
  </si>
  <si>
    <t>MES</t>
  </si>
  <si>
    <t>IIPC</t>
  </si>
  <si>
    <t>Sub Total 1.5.</t>
  </si>
  <si>
    <t>012-2025-MIDAGRI-AGROIDEAS</t>
  </si>
  <si>
    <t>100-2023</t>
  </si>
  <si>
    <t>ASOCIACION DE PRODUCTORES AGROPECUARIOS MICROCUENCA NORTE RIO NUÑOA</t>
  </si>
  <si>
    <t>MEJORAMIENTO DEL MANEJO PRUDUCTIVO DE LA ALPACA</t>
  </si>
  <si>
    <t xml:space="preserve">Melgar </t>
  </si>
  <si>
    <t>Nuñoa</t>
  </si>
  <si>
    <t>Carabaya</t>
  </si>
  <si>
    <t>02//10/2025</t>
  </si>
  <si>
    <t>1.1. Aplicar Técnicas de manejo adecuado de los rebaños de alpacas que permita incrementar gradualmente la ganacia de peso diario de 0.08 kg/día a 0.15 kg/día/ alpaca al 5to año</t>
  </si>
  <si>
    <t>1.2. Ampliar la oferta forrajera con la instalación de 54 ha de alfalfa y dactilys en la asociación al 2do año</t>
  </si>
  <si>
    <t>1.3.Reducir el porcentaje de mortalidad de 4% a 2% al 2do año</t>
  </si>
  <si>
    <t>Fecha y Hora : 28/04/2025 05:20 p.m.</t>
  </si>
  <si>
    <t>Mallas ganaderas de 9  hilos por 100 metros</t>
  </si>
  <si>
    <t>Postes Metálicos de 1.98m x 1.15"con ancla tipo flecha de acero, acabado y pintado</t>
  </si>
  <si>
    <t>Tecle 2T</t>
  </si>
  <si>
    <t>Gripples medianos</t>
  </si>
  <si>
    <t>Grapha Galvanizada 1"</t>
  </si>
  <si>
    <t>Kg</t>
  </si>
  <si>
    <t>Puertas</t>
  </si>
  <si>
    <t>Yeso Bolsa 30Kg</t>
  </si>
  <si>
    <t>Bolsa</t>
  </si>
  <si>
    <t>Semilla de Alfalfa</t>
  </si>
  <si>
    <t>Semilla de Dactilys Glomerata</t>
  </si>
  <si>
    <t>Guano de las islas</t>
  </si>
  <si>
    <t>Sacos</t>
  </si>
  <si>
    <t>Kit Veterinario</t>
  </si>
  <si>
    <t>Global</t>
  </si>
  <si>
    <t>IPC</t>
  </si>
  <si>
    <t>Formulación del PNT</t>
  </si>
  <si>
    <t>Rollo de 100 m
9 hilos*1.20 altura
Diámetro de alambre 2.15 mm
Recubrimiento de alambre de zinc 90%</t>
  </si>
  <si>
    <t>Material: Metálico
- Dimensiones: 1.98 m x 1.15" ancla tipo flecha de acero acabado y pintado con pintura anticorrosiva
- Tipo de instalación: lleva un ancla en la parte inferior tipo flecha (para fácil empotramiento en el terreno)
- Intalación de Malla: compatible para instalación de alambres de malla galvanizada de 9 hilos</t>
  </si>
  <si>
    <t>Material: acero
- Ganchos forjados de acero al medio carbono con cierres de seguridad
- Engrane de acero de doble cremallera para mayor resistencia
- Botón de seguridad que libera el mecanismo
- Ideal para tensado de cables y mallas</t>
  </si>
  <si>
    <t xml:space="preserve"> Diámetro del Alambre: 2mm a 3,25mm
- Bolsa de 20 Unidades</t>
  </si>
  <si>
    <t>Grapas Galvanizadas x 1kg
Fabricadas en acero con acabado galvanizado, resistente a la corrosión
- Corrugadas con diseño en "U" para mayor fijación en alambres o mallas de acero
- Puntas afiladas para una excelente horadación</t>
  </si>
  <si>
    <t>Dimensiones 120x200
- Tubo galvanizado de 1/2
- Malla alambre galvanizado N° 10</t>
  </si>
  <si>
    <t>Bolsa de 25kg</t>
  </si>
  <si>
    <t xml:space="preserve">Variedad: W350
Presentación: saco de 25kg
- Dormancia: 3.8
- Producción: 22 a 28 LMS/Ha/año
- Longevidad: larga duración
- Proteina: 22%
- Digestibilidad: 70%
- Humedad: 5-12%
- Germinación mínima 90%
- Pureza física: 99%
</t>
  </si>
  <si>
    <t xml:space="preserve">Variedad: Glomerata Potomac
- Presentación: saco de 50 Kg
- Humedad: 5-12%
- Germinación mínima 85%
- Pureza física: 99%
</t>
  </si>
  <si>
    <t>Presentación: saco de polipropileno con capacidad de 48 Kg
- El guano de las islas presenta en forma de polvo de granulación uniforme
- De color gris amarillento verdoso
- Con olor fuerte a vapores amoniacales
- Contiene una humedad de 16 - 18%</t>
  </si>
  <si>
    <t>Pistola dosificadora automática x 30ml
- Aguja metálica 18 x 1 1/2
- Jeringa TP x 50
- Termómetro veterinario digital</t>
  </si>
  <si>
    <r>
      <rPr>
        <b/>
        <sz val="7"/>
        <color rgb="FF000000"/>
        <rFont val="Arial"/>
        <family val="2"/>
      </rPr>
      <t>Modalidad:</t>
    </r>
    <r>
      <rPr>
        <sz val="7"/>
        <color rgb="FF000000"/>
        <rFont val="Arial"/>
        <family val="2"/>
      </rPr>
      <t xml:space="preserve"> servicio contratado por 12 meses. 
</t>
    </r>
    <r>
      <rPr>
        <b/>
        <sz val="7"/>
        <color rgb="FF000000"/>
        <rFont val="Arial"/>
        <family val="2"/>
      </rPr>
      <t>Perfil profesional</t>
    </r>
    <r>
      <rPr>
        <sz val="7"/>
        <color rgb="FF000000"/>
        <rFont val="Arial"/>
        <family val="2"/>
      </rPr>
      <t xml:space="preserve">
Profesional titulado en Medicina Veterinaria y Zootecnia, Ingeniero zootecnista, Ingeniero agrónomo 
</t>
    </r>
    <r>
      <rPr>
        <b/>
        <sz val="7"/>
        <color rgb="FF000000"/>
        <rFont val="Arial"/>
        <family val="2"/>
      </rPr>
      <t xml:space="preserve">Experiencia General: </t>
    </r>
    <r>
      <rPr>
        <sz val="7"/>
        <color rgb="FF000000"/>
        <rFont val="Arial"/>
        <family val="2"/>
      </rPr>
      <t xml:space="preserve"> seis (6) años en proyectos productivos de desarrollo pecuario
</t>
    </r>
    <r>
      <rPr>
        <b/>
        <sz val="7"/>
        <color rgb="FF000000"/>
        <rFont val="Arial"/>
        <family val="2"/>
      </rPr>
      <t>Expericiencia Específica:</t>
    </r>
    <r>
      <rPr>
        <sz val="7"/>
        <color rgb="FF000000"/>
        <rFont val="Arial"/>
        <family val="2"/>
      </rPr>
      <t xml:space="preserve"> Mínimo 3 años en la implementación de proyectos productivos de desarrollo alpaquero. Conocimiento del desarrollo de la cadena productiva de alpacas en infraestructura productiva, praderas nativas, sanidad animal, manejo de rebaño, manejo reproductivo, mejoramiento genético, campaña de acopio de fibra, gestión organizativa y articulación comercial
</t>
    </r>
    <r>
      <rPr>
        <b/>
        <sz val="7"/>
        <color rgb="FF000000"/>
        <rFont val="Arial"/>
        <family val="2"/>
      </rPr>
      <t xml:space="preserve">Idiomas: </t>
    </r>
    <r>
      <rPr>
        <sz val="7"/>
        <color rgb="FF000000"/>
        <rFont val="Arial"/>
        <family val="2"/>
      </rPr>
      <t xml:space="preserve">Castellano y de preferencia dominio de quechua
</t>
    </r>
    <r>
      <rPr>
        <b/>
        <sz val="7"/>
        <color rgb="FF000000"/>
        <rFont val="Arial"/>
        <family val="2"/>
      </rPr>
      <t xml:space="preserve">Funciones principales:
</t>
    </r>
    <r>
      <rPr>
        <sz val="7"/>
        <color rgb="FF000000"/>
        <rFont val="Arial"/>
        <family val="2"/>
      </rPr>
      <t>1. Valida y reconstruye la línea base de la organización
2. Vela por el cumplimiento de los objetivos y POA del PNT
3. Asesora y acompaña a la junta directiva en la adquisición de bienes y servicios
4. Elabora el calendario de manejo y sanitario para la organización
5. Elabora el Plan de Capacitación del PNT
6. Elabora el Plan de Asistencia Técnica
7. Desarrollo la asistencia técnica personalizada a cada beneficiario
8. Planifica e implementa las campañas técnicas de empadre controlado, parición, destete, selección y saca de animales.
9. Planifica y ejecuta las campañas sanitarias
10. Elabora los informes del RTF de la organización y validad por la directiva alcanza el programa
11. Elabora su informe mensual de trabajo a la presidencia de la organización para su validación gestión respectiva</t>
    </r>
  </si>
  <si>
    <t>Perfil del Profesional:
- Profesional en ciencias agrarias: Médico veterinario y zootecnista, Ingeniero zootecnista e Ingeniero Agrónomo
Experiencia:
- General: Experiencia profesional de cinco (05) años en el sector agrario público y privado
- Específica: Experiencia de tres (03) años en formulación de planes de negocios
Funciones:
- Levantar información de campo, para conocer el estado de la línea de base de la organización
- Sostener reuniones con los productores para obtener información complementaria a la línea de base a nivel individual y organizacional
- Sostener reuniones para verificar el nivel tecnológico en el que se encuentra la organización y verificar las deficiencias en bienes y servicios, que no permiten un avance competitivo de la organización
- Evaluación de las fases de la cadena del agronegocio de la organización e identificación de los cuellos de botella tecnológicos para ser cubiertos con bienes y servicios, así como las oportunidades de mercado solicitados en el PNT
- Elaboración del PNT de tecnología y exposición a la organización en pleno para su aprobación
Tiempo de Contrato: desde la presentación de la solicitud a AGROIDEAS hasla ta aprobación a nivel de consejo directivo</t>
  </si>
  <si>
    <t>1.4. Desarrollar capacidades para una eficiente  gestión comercial de organización</t>
  </si>
  <si>
    <t>Engorde y 
venta de alpacas en Pie</t>
  </si>
  <si>
    <t>Numero Cabezas (alpacas)</t>
  </si>
  <si>
    <t xml:space="preserve">Kg/Cabeza </t>
  </si>
  <si>
    <t>PRODUCCIÓN (Alpacas en engorde - peso inicial)</t>
  </si>
  <si>
    <t>Total / año</t>
  </si>
  <si>
    <t xml:space="preserve">Periodo de engorde/Días </t>
  </si>
  <si>
    <t>Rendimiento esperado en Kg/día</t>
  </si>
  <si>
    <t>PRODUCCIÓN (Alpacas en engorde - peso final)</t>
  </si>
  <si>
    <t>INGRESOS POR PESO CARCASA</t>
  </si>
  <si>
    <t>Animal en Pie (Kg) - Peso Carcasa</t>
  </si>
  <si>
    <t>Precio por Kg/S</t>
  </si>
  <si>
    <t xml:space="preserve">Ampliación de la oferta forralera Ha </t>
  </si>
  <si>
    <t>Costos de Producción S/ / alpaca</t>
  </si>
  <si>
    <t>Reducir el porcentaje de Motalidad al año</t>
  </si>
  <si>
    <t>Abonamiento de los campos de pastoreo con estiércol de las alpacas</t>
  </si>
  <si>
    <t>Informe de verificación</t>
  </si>
  <si>
    <t xml:space="preserve">Manejo y conservación de pastos naturañes </t>
  </si>
  <si>
    <t>Incremento del periodo (kg/alpaca)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</si>
</sst>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quot;S/.&quot;\ * #,##0.00_ ;_ &quot;S/.&quot;\ * \-#,##0.00_ ;_ &quot;S/.&quot;\ * &quot;-&quot;??_ ;_ @_ "/>
    <numFmt numFmtId="165" formatCode="_-* #,##0.00\ _€_-;\-* #,##0.00\ _€_-;_-* &quot;-&quot;??\ _€_-;_-@_-"/>
  </numFmts>
  <fonts count="29" x14ac:knownFonts="1">
    <font>
      <sz val="11"/>
      <color rgb="FF000000"/>
      <name val="Calibri"/>
      <family val="2"/>
      <scheme val="minor"/>
    </font>
    <font>
      <sz val="11"/>
      <color theme="1"/>
      <name val="Calibri"/>
      <family val="2"/>
      <scheme val="minor"/>
    </font>
    <font>
      <sz val="11"/>
      <color theme="1"/>
      <name val="Calibri"/>
      <family val="2"/>
      <scheme val="minor"/>
    </font>
    <font>
      <sz val="11"/>
      <name val="Calibri"/>
      <family val="2"/>
    </font>
    <font>
      <b/>
      <sz val="8"/>
      <color rgb="FF000000"/>
      <name val="Arial"/>
      <family val="2"/>
    </font>
    <font>
      <sz val="8"/>
      <color rgb="FF000000"/>
      <name val="Arial"/>
      <family val="2"/>
    </font>
    <font>
      <b/>
      <sz val="16"/>
      <color rgb="FF365838"/>
      <name val="Arial"/>
      <family val="2"/>
    </font>
    <font>
      <b/>
      <sz val="9"/>
      <color rgb="FF365838"/>
      <name val="Arial"/>
      <family val="2"/>
    </font>
    <font>
      <sz val="9"/>
      <color rgb="FF000000"/>
      <name val="Arial"/>
      <family val="2"/>
    </font>
    <font>
      <b/>
      <sz val="8"/>
      <color rgb="FFFFFFFF"/>
      <name val="Arial"/>
      <family val="2"/>
    </font>
    <font>
      <b/>
      <sz val="7"/>
      <color rgb="FFFFFFFF"/>
      <name val="Arial"/>
      <family val="2"/>
    </font>
    <font>
      <sz val="7"/>
      <color rgb="FF000000"/>
      <name val="Arial"/>
      <family val="2"/>
    </font>
    <font>
      <sz val="9"/>
      <name val="Calibri"/>
      <family val="2"/>
    </font>
    <font>
      <b/>
      <sz val="9"/>
      <color rgb="FFFFFFFF"/>
      <name val="Arial"/>
      <family val="2"/>
    </font>
    <font>
      <sz val="8"/>
      <name val="Calibri"/>
      <family val="2"/>
    </font>
    <font>
      <sz val="8"/>
      <color theme="1"/>
      <name val="Arial"/>
      <family val="2"/>
    </font>
    <font>
      <b/>
      <sz val="8"/>
      <color theme="1"/>
      <name val="Arial"/>
      <family val="2"/>
    </font>
    <font>
      <b/>
      <sz val="8"/>
      <name val="Calibri"/>
      <family val="2"/>
    </font>
    <font>
      <b/>
      <sz val="12"/>
      <color rgb="FF365838"/>
      <name val="Arial"/>
      <family val="2"/>
    </font>
    <font>
      <b/>
      <sz val="7"/>
      <color rgb="FF000000"/>
      <name val="Arial"/>
      <family val="2"/>
    </font>
    <font>
      <b/>
      <u/>
      <sz val="9"/>
      <name val="Calibri"/>
      <family val="2"/>
    </font>
    <font>
      <sz val="8"/>
      <name val="Arial"/>
      <family val="2"/>
    </font>
    <font>
      <b/>
      <sz val="11"/>
      <color rgb="FF365838"/>
      <name val="Arial"/>
      <family val="2"/>
    </font>
    <font>
      <b/>
      <sz val="14"/>
      <color rgb="FF365838"/>
      <name val="Arial"/>
      <family val="2"/>
    </font>
    <font>
      <sz val="9"/>
      <color indexed="81"/>
      <name val="Tahoma"/>
      <family val="2"/>
    </font>
    <font>
      <b/>
      <sz val="9"/>
      <color indexed="81"/>
      <name val="Tahoma"/>
      <family val="2"/>
    </font>
    <font>
      <b/>
      <sz val="9"/>
      <color rgb="FF000000"/>
      <name val="Arial Narrow"/>
      <family val="2"/>
    </font>
    <font>
      <sz val="11"/>
      <color rgb="FF000000"/>
      <name val="Calibri"/>
      <family val="2"/>
      <scheme val="minor"/>
    </font>
    <font>
      <sz val="8"/>
      <name val="Calibri"/>
      <family val="2"/>
      <scheme val="minor"/>
    </font>
  </fonts>
  <fills count="11">
    <fill>
      <patternFill patternType="none"/>
    </fill>
    <fill>
      <patternFill patternType="gray125"/>
    </fill>
    <fill>
      <patternFill patternType="solid">
        <fgColor rgb="FF2E8B57"/>
        <bgColor rgb="FF2E8B57"/>
      </patternFill>
    </fill>
    <fill>
      <patternFill patternType="solid">
        <fgColor rgb="FF3CB371"/>
        <bgColor rgb="FF3CB371"/>
      </patternFill>
    </fill>
    <fill>
      <patternFill patternType="solid">
        <fgColor rgb="FF92D050"/>
        <bgColor rgb="FF3CB371"/>
      </patternFill>
    </fill>
    <fill>
      <patternFill patternType="solid">
        <fgColor theme="0"/>
        <bgColor indexed="64"/>
      </patternFill>
    </fill>
    <fill>
      <patternFill patternType="solid">
        <fgColor rgb="FFFF0000"/>
        <bgColor indexed="64"/>
      </patternFill>
    </fill>
    <fill>
      <patternFill patternType="solid">
        <fgColor rgb="FFFF0000"/>
        <bgColor rgb="FF2E8B57"/>
      </patternFill>
    </fill>
    <fill>
      <patternFill patternType="solid">
        <fgColor rgb="FFFFFF00"/>
        <bgColor indexed="64"/>
      </patternFill>
    </fill>
    <fill>
      <patternFill patternType="solid">
        <fgColor rgb="FFEAF1DD"/>
        <bgColor indexed="64"/>
      </patternFill>
    </fill>
    <fill>
      <patternFill patternType="solid">
        <fgColor rgb="FF009900"/>
        <bgColor indexed="64"/>
      </patternFill>
    </fill>
  </fills>
  <borders count="60">
    <border>
      <left/>
      <right/>
      <top/>
      <bottom/>
      <diagonal/>
    </border>
    <border>
      <left style="thin">
        <color rgb="FF00B050"/>
      </left>
      <right style="thin">
        <color rgb="FF00B050"/>
      </right>
      <top style="thin">
        <color rgb="FF00B050"/>
      </top>
      <bottom style="thin">
        <color rgb="FF00B050"/>
      </bottom>
      <diagonal/>
    </border>
    <border>
      <left style="thin">
        <color rgb="FF00B050"/>
      </left>
      <right/>
      <top style="thin">
        <color rgb="FF00B050"/>
      </top>
      <bottom style="thin">
        <color rgb="FF00B050"/>
      </bottom>
      <diagonal/>
    </border>
    <border>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top style="thin">
        <color rgb="FF00B050"/>
      </top>
      <bottom/>
      <diagonal/>
    </border>
    <border>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top/>
      <bottom style="thin">
        <color rgb="FF00B050"/>
      </bottom>
      <diagonal/>
    </border>
    <border>
      <left/>
      <right style="thin">
        <color rgb="FF00B050"/>
      </right>
      <top/>
      <bottom style="thin">
        <color rgb="FF00B050"/>
      </bottom>
      <diagonal/>
    </border>
    <border>
      <left style="thin">
        <color rgb="FF00B050"/>
      </left>
      <right style="thin">
        <color rgb="FF00B050"/>
      </right>
      <top style="thin">
        <color rgb="FF00B050"/>
      </top>
      <bottom/>
      <diagonal/>
    </border>
    <border>
      <left style="thin">
        <color rgb="FF00B050"/>
      </left>
      <right style="thin">
        <color rgb="FF00B050"/>
      </right>
      <top/>
      <bottom style="thin">
        <color rgb="FF00B050"/>
      </bottom>
      <diagonal/>
    </border>
    <border>
      <left style="thin">
        <color indexed="64"/>
      </left>
      <right style="thin">
        <color indexed="64"/>
      </right>
      <top style="thin">
        <color indexed="64"/>
      </top>
      <bottom style="thin">
        <color indexed="64"/>
      </bottom>
      <diagonal/>
    </border>
    <border>
      <left style="medium">
        <color indexed="64"/>
      </left>
      <right style="thin">
        <color rgb="FF00B050"/>
      </right>
      <top style="thin">
        <color rgb="FF00B050"/>
      </top>
      <bottom style="medium">
        <color indexed="64"/>
      </bottom>
      <diagonal/>
    </border>
    <border>
      <left style="thin">
        <color rgb="FF00B050"/>
      </left>
      <right style="thin">
        <color rgb="FF00B050"/>
      </right>
      <top style="thin">
        <color rgb="FF00B050"/>
      </top>
      <bottom style="medium">
        <color indexed="64"/>
      </bottom>
      <diagonal/>
    </border>
    <border>
      <left style="thin">
        <color rgb="FF00B050"/>
      </left>
      <right style="medium">
        <color indexed="64"/>
      </right>
      <top style="thin">
        <color rgb="FF00B050"/>
      </top>
      <bottom style="medium">
        <color indexed="64"/>
      </bottom>
      <diagonal/>
    </border>
    <border>
      <left style="medium">
        <color indexed="64"/>
      </left>
      <right style="medium">
        <color indexed="64"/>
      </right>
      <top style="medium">
        <color indexed="64"/>
      </top>
      <bottom/>
      <diagonal/>
    </border>
    <border>
      <left style="medium">
        <color indexed="64"/>
      </left>
      <right style="thin">
        <color rgb="FF00B050"/>
      </right>
      <top style="medium">
        <color indexed="64"/>
      </top>
      <bottom style="thin">
        <color rgb="FF00B050"/>
      </bottom>
      <diagonal/>
    </border>
    <border>
      <left style="thin">
        <color rgb="FF00B050"/>
      </left>
      <right style="medium">
        <color indexed="64"/>
      </right>
      <top style="medium">
        <color indexed="64"/>
      </top>
      <bottom style="thin">
        <color rgb="FF00B050"/>
      </bottom>
      <diagonal/>
    </border>
    <border>
      <left style="medium">
        <color indexed="64"/>
      </left>
      <right style="medium">
        <color indexed="64"/>
      </right>
      <top style="medium">
        <color indexed="64"/>
      </top>
      <bottom style="thin">
        <color rgb="FF00B050"/>
      </bottom>
      <diagonal/>
    </border>
    <border>
      <left style="medium">
        <color indexed="64"/>
      </left>
      <right style="thin">
        <color rgb="FF00B050"/>
      </right>
      <top/>
      <bottom style="thin">
        <color rgb="FF00B050"/>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rgb="FF00B050"/>
      </left>
      <right style="thin">
        <color rgb="FF00B050"/>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diagonal/>
    </border>
    <border>
      <left style="thin">
        <color rgb="FF00B050"/>
      </left>
      <right style="thin">
        <color rgb="FF00B050"/>
      </right>
      <top style="medium">
        <color indexed="64"/>
      </top>
      <bottom style="thin">
        <color rgb="FF00B050"/>
      </bottom>
      <diagonal/>
    </border>
    <border>
      <left/>
      <right style="thin">
        <color rgb="FF00B050"/>
      </right>
      <top style="medium">
        <color indexed="64"/>
      </top>
      <bottom style="thin">
        <color rgb="FF00B050"/>
      </bottom>
      <diagonal/>
    </border>
    <border>
      <left style="medium">
        <color indexed="64"/>
      </left>
      <right/>
      <top style="medium">
        <color indexed="64"/>
      </top>
      <bottom style="thin">
        <color rgb="FF00B050"/>
      </bottom>
      <diagonal/>
    </border>
    <border>
      <left style="thin">
        <color rgb="FF00B050"/>
      </left>
      <right style="medium">
        <color indexed="64"/>
      </right>
      <top/>
      <bottom style="thin">
        <color rgb="FF00B05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rgb="FF00B050"/>
      </right>
      <top style="thin">
        <color rgb="FF00B050"/>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B050"/>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s>
  <cellStyleXfs count="4">
    <xf numFmtId="0" fontId="0" fillId="0" borderId="0"/>
    <xf numFmtId="0" fontId="2" fillId="0" borderId="0"/>
    <xf numFmtId="0" fontId="1" fillId="0" borderId="0"/>
    <xf numFmtId="43" fontId="27" fillId="0" borderId="0" applyFont="0" applyFill="0" applyBorder="0" applyAlignment="0" applyProtection="0"/>
  </cellStyleXfs>
  <cellXfs count="233">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12" fillId="0" borderId="0" xfId="0" applyFont="1"/>
    <xf numFmtId="0" fontId="3" fillId="0" borderId="0" xfId="0" applyFont="1" applyAlignment="1">
      <alignment horizontal="left" vertical="center"/>
    </xf>
    <xf numFmtId="164" fontId="11" fillId="0" borderId="1" xfId="0" applyNumberFormat="1" applyFont="1" applyBorder="1" applyAlignment="1">
      <alignment horizontal="center" vertical="center" wrapText="1" readingOrder="1"/>
    </xf>
    <xf numFmtId="0" fontId="13" fillId="2" borderId="1" xfId="0" applyFont="1" applyFill="1" applyBorder="1" applyAlignment="1">
      <alignment horizontal="center" vertical="center" wrapText="1" readingOrder="1"/>
    </xf>
    <xf numFmtId="0" fontId="10" fillId="2" borderId="1" xfId="0" applyFont="1" applyFill="1" applyBorder="1" applyAlignment="1">
      <alignment horizontal="center" vertical="center" wrapText="1" readingOrder="1"/>
    </xf>
    <xf numFmtId="164" fontId="4" fillId="4" borderId="1" xfId="0" applyNumberFormat="1" applyFont="1" applyFill="1" applyBorder="1" applyAlignment="1">
      <alignment horizontal="center" vertical="center" wrapText="1" readingOrder="1"/>
    </xf>
    <xf numFmtId="0" fontId="5" fillId="3" borderId="1" xfId="0" applyFont="1" applyFill="1" applyBorder="1" applyAlignment="1">
      <alignment horizontal="center" vertical="center" wrapText="1" readingOrder="1"/>
    </xf>
    <xf numFmtId="164" fontId="5" fillId="3" borderId="1" xfId="0" applyNumberFormat="1" applyFont="1" applyFill="1" applyBorder="1" applyAlignment="1">
      <alignment horizontal="center" vertical="center" wrapText="1" readingOrder="1"/>
    </xf>
    <xf numFmtId="0" fontId="11" fillId="0" borderId="1" xfId="0" applyFont="1" applyBorder="1" applyAlignment="1">
      <alignment horizontal="center" vertical="center" wrapText="1" readingOrder="1"/>
    </xf>
    <xf numFmtId="0" fontId="14" fillId="0" borderId="0" xfId="0" applyFont="1" applyAlignment="1">
      <alignment horizontal="center" vertical="center"/>
    </xf>
    <xf numFmtId="0" fontId="2" fillId="0" borderId="0" xfId="1"/>
    <xf numFmtId="0" fontId="3" fillId="0" borderId="0" xfId="0" applyFont="1" applyAlignment="1">
      <alignment readingOrder="1"/>
    </xf>
    <xf numFmtId="0" fontId="14" fillId="0" borderId="0" xfId="0" applyFont="1"/>
    <xf numFmtId="0" fontId="17" fillId="0" borderId="0" xfId="0" applyFont="1" applyAlignment="1">
      <alignment horizontal="center" vertical="center"/>
    </xf>
    <xf numFmtId="0" fontId="5" fillId="0" borderId="0" xfId="0" applyFont="1" applyAlignment="1">
      <alignment horizontal="center" vertical="center" wrapText="1" readingOrder="1"/>
    </xf>
    <xf numFmtId="0" fontId="5" fillId="0" borderId="0" xfId="0" applyFont="1" applyAlignment="1">
      <alignment vertical="center" wrapText="1" readingOrder="1"/>
    </xf>
    <xf numFmtId="0" fontId="3" fillId="0" borderId="0" xfId="0" applyFont="1" applyAlignment="1">
      <alignment vertical="center" wrapText="1"/>
    </xf>
    <xf numFmtId="0" fontId="13" fillId="2" borderId="14" xfId="0" applyFont="1" applyFill="1" applyBorder="1" applyAlignment="1">
      <alignment horizontal="center" vertical="center" wrapText="1" readingOrder="1"/>
    </xf>
    <xf numFmtId="0" fontId="5" fillId="0" borderId="0" xfId="0" applyFont="1" applyAlignment="1">
      <alignment horizontal="left" vertical="center" wrapText="1" readingOrder="1"/>
    </xf>
    <xf numFmtId="0" fontId="8" fillId="0" borderId="0" xfId="0" applyFont="1" applyAlignment="1">
      <alignment horizontal="left" vertical="top" wrapText="1" readingOrder="1"/>
    </xf>
    <xf numFmtId="0" fontId="20" fillId="0" borderId="0" xfId="0" applyFont="1" applyAlignment="1">
      <alignment horizontal="left" vertical="center"/>
    </xf>
    <xf numFmtId="0" fontId="3" fillId="0" borderId="0" xfId="0" applyFont="1" applyAlignment="1">
      <alignment horizontal="center"/>
    </xf>
    <xf numFmtId="0" fontId="8" fillId="0" borderId="0" xfId="0" applyFont="1" applyAlignment="1">
      <alignment horizontal="center" vertical="top" wrapText="1" readingOrder="1"/>
    </xf>
    <xf numFmtId="0" fontId="3" fillId="0" borderId="0" xfId="0" applyFont="1" applyAlignment="1">
      <alignment horizontal="center" vertical="center" wrapText="1"/>
    </xf>
    <xf numFmtId="0" fontId="9" fillId="2" borderId="4" xfId="0" applyFont="1" applyFill="1" applyBorder="1" applyAlignment="1">
      <alignment horizontal="center" vertical="center" wrapText="1" readingOrder="1"/>
    </xf>
    <xf numFmtId="0" fontId="5" fillId="0" borderId="16" xfId="0" applyFont="1" applyBorder="1" applyAlignment="1">
      <alignment horizontal="center" vertical="center" wrapText="1" readingOrder="1"/>
    </xf>
    <xf numFmtId="0" fontId="5" fillId="0" borderId="17" xfId="0" applyFont="1" applyBorder="1" applyAlignment="1">
      <alignment horizontal="center" vertical="center" wrapText="1" readingOrder="1"/>
    </xf>
    <xf numFmtId="0" fontId="5" fillId="0" borderId="18" xfId="0" applyFont="1" applyBorder="1" applyAlignment="1">
      <alignment horizontal="center" vertical="center" wrapText="1" readingOrder="1"/>
    </xf>
    <xf numFmtId="0" fontId="5" fillId="0" borderId="23" xfId="0" applyFont="1" applyBorder="1" applyAlignment="1">
      <alignment horizontal="center" vertical="center" wrapText="1" readingOrder="1"/>
    </xf>
    <xf numFmtId="0" fontId="5" fillId="0" borderId="16" xfId="0" applyFont="1" applyBorder="1" applyAlignment="1">
      <alignment horizontal="left" vertical="center" wrapText="1" readingOrder="1"/>
    </xf>
    <xf numFmtId="9" fontId="4" fillId="4" borderId="1" xfId="0" applyNumberFormat="1" applyFont="1" applyFill="1" applyBorder="1" applyAlignment="1">
      <alignment horizontal="center" vertical="center" wrapText="1" readingOrder="1"/>
    </xf>
    <xf numFmtId="0" fontId="5" fillId="0" borderId="20" xfId="0" applyFont="1" applyBorder="1" applyAlignment="1">
      <alignment horizontal="left" vertical="center" wrapText="1" readingOrder="1"/>
    </xf>
    <xf numFmtId="0" fontId="5" fillId="0" borderId="22" xfId="0" applyFont="1" applyBorder="1" applyAlignment="1">
      <alignment horizontal="center" vertical="center" wrapText="1" readingOrder="1"/>
    </xf>
    <xf numFmtId="0" fontId="5" fillId="0" borderId="20" xfId="0" applyFont="1" applyBorder="1" applyAlignment="1">
      <alignment horizontal="center" vertical="center" wrapText="1" readingOrder="1"/>
    </xf>
    <xf numFmtId="0" fontId="5" fillId="0" borderId="37" xfId="0" applyFont="1" applyBorder="1" applyAlignment="1">
      <alignment horizontal="center" vertical="center" wrapText="1" readingOrder="1"/>
    </xf>
    <xf numFmtId="0" fontId="5" fillId="0" borderId="21" xfId="0" applyFont="1" applyBorder="1" applyAlignment="1">
      <alignment horizontal="center" vertical="center" wrapText="1" readingOrder="1"/>
    </xf>
    <xf numFmtId="0" fontId="5" fillId="0" borderId="14" xfId="0" applyFont="1" applyBorder="1" applyAlignment="1">
      <alignment horizontal="center" vertical="center" wrapText="1" readingOrder="1"/>
    </xf>
    <xf numFmtId="0" fontId="8" fillId="0" borderId="0" xfId="0" applyFont="1" applyAlignment="1">
      <alignment vertical="top" wrapText="1" readingOrder="1"/>
    </xf>
    <xf numFmtId="0" fontId="5" fillId="0" borderId="38" xfId="0" applyFont="1" applyBorder="1" applyAlignment="1">
      <alignment horizontal="center" vertical="center" wrapText="1" readingOrder="1"/>
    </xf>
    <xf numFmtId="0" fontId="5" fillId="0" borderId="40" xfId="0" applyFont="1" applyBorder="1" applyAlignment="1">
      <alignment horizontal="center" vertical="center" wrapText="1" readingOrder="1"/>
    </xf>
    <xf numFmtId="49" fontId="5" fillId="0" borderId="20" xfId="0" applyNumberFormat="1" applyFont="1" applyBorder="1" applyAlignment="1">
      <alignment horizontal="left" vertical="center" wrapText="1" readingOrder="1"/>
    </xf>
    <xf numFmtId="0" fontId="5" fillId="0" borderId="39" xfId="0" applyFont="1" applyBorder="1" applyAlignment="1">
      <alignment horizontal="center" vertical="center" wrapText="1" readingOrder="1"/>
    </xf>
    <xf numFmtId="0" fontId="15" fillId="5" borderId="4" xfId="1" quotePrefix="1" applyFont="1" applyFill="1" applyBorder="1" applyAlignment="1">
      <alignment horizontal="center" vertical="center"/>
    </xf>
    <xf numFmtId="0" fontId="14" fillId="5" borderId="0" xfId="0" applyFont="1" applyFill="1" applyAlignment="1">
      <alignment horizontal="center" vertical="center"/>
    </xf>
    <xf numFmtId="0" fontId="15" fillId="5" borderId="1" xfId="1" applyFont="1" applyFill="1" applyBorder="1" applyAlignment="1">
      <alignment horizontal="center" vertical="center"/>
    </xf>
    <xf numFmtId="0" fontId="16" fillId="5" borderId="4" xfId="1" quotePrefix="1" applyFont="1" applyFill="1" applyBorder="1" applyAlignment="1">
      <alignment horizontal="left" vertical="center"/>
    </xf>
    <xf numFmtId="0" fontId="14" fillId="5" borderId="0" xfId="0" applyFont="1" applyFill="1"/>
    <xf numFmtId="0" fontId="20" fillId="5" borderId="0" xfId="0" applyFont="1" applyFill="1" applyAlignment="1">
      <alignment horizontal="left" vertical="center"/>
    </xf>
    <xf numFmtId="0" fontId="16" fillId="5" borderId="4" xfId="1" applyFont="1" applyFill="1" applyBorder="1" applyAlignment="1">
      <alignment horizontal="center" vertical="center"/>
    </xf>
    <xf numFmtId="0" fontId="17" fillId="5" borderId="0" xfId="0" applyFont="1" applyFill="1" applyAlignment="1">
      <alignment vertical="center"/>
    </xf>
    <xf numFmtId="10" fontId="16" fillId="5" borderId="1" xfId="1" applyNumberFormat="1" applyFont="1" applyFill="1" applyBorder="1" applyAlignment="1">
      <alignment horizontal="center" vertical="center"/>
    </xf>
    <xf numFmtId="10" fontId="15" fillId="5" borderId="1" xfId="1" applyNumberFormat="1" applyFont="1" applyFill="1" applyBorder="1" applyAlignment="1">
      <alignment horizontal="center" vertical="center"/>
    </xf>
    <xf numFmtId="0" fontId="17" fillId="5" borderId="15" xfId="0" applyFont="1" applyFill="1" applyBorder="1" applyAlignment="1">
      <alignment horizontal="center" vertical="center"/>
    </xf>
    <xf numFmtId="0" fontId="16" fillId="5" borderId="0" xfId="1" applyFont="1" applyFill="1" applyAlignment="1">
      <alignment horizontal="center" vertical="center"/>
    </xf>
    <xf numFmtId="17" fontId="15" fillId="5" borderId="0" xfId="1" applyNumberFormat="1" applyFont="1" applyFill="1" applyAlignment="1">
      <alignment horizontal="center" vertical="center"/>
    </xf>
    <xf numFmtId="0" fontId="15" fillId="5" borderId="0" xfId="1" quotePrefix="1" applyFont="1" applyFill="1" applyAlignment="1">
      <alignment horizontal="center" vertical="center"/>
    </xf>
    <xf numFmtId="0" fontId="15" fillId="5" borderId="0" xfId="1" applyFont="1" applyFill="1" applyAlignment="1">
      <alignment horizontal="center" vertical="center"/>
    </xf>
    <xf numFmtId="0" fontId="16" fillId="5" borderId="0" xfId="1" applyFont="1" applyFill="1" applyAlignment="1">
      <alignment horizontal="left" vertical="center"/>
    </xf>
    <xf numFmtId="4" fontId="16" fillId="5" borderId="0" xfId="1" applyNumberFormat="1" applyFont="1" applyFill="1" applyAlignment="1">
      <alignment horizontal="center" vertical="center"/>
    </xf>
    <xf numFmtId="10" fontId="16" fillId="5" borderId="0" xfId="1" applyNumberFormat="1" applyFont="1" applyFill="1" applyAlignment="1">
      <alignment horizontal="center" vertical="center"/>
    </xf>
    <xf numFmtId="0" fontId="15" fillId="5" borderId="5" xfId="1" applyFont="1" applyFill="1" applyBorder="1" applyAlignment="1">
      <alignment horizontal="center" vertical="center"/>
    </xf>
    <xf numFmtId="0" fontId="15" fillId="5" borderId="6" xfId="1" applyFont="1" applyFill="1" applyBorder="1" applyAlignment="1">
      <alignment horizontal="center" vertical="center"/>
    </xf>
    <xf numFmtId="0" fontId="15" fillId="5" borderId="7" xfId="1" applyFont="1" applyFill="1" applyBorder="1" applyAlignment="1">
      <alignment horizontal="center" vertical="center"/>
    </xf>
    <xf numFmtId="0" fontId="15" fillId="5" borderId="8" xfId="1" applyFont="1" applyFill="1" applyBorder="1" applyAlignment="1">
      <alignment horizontal="center" vertical="center"/>
    </xf>
    <xf numFmtId="0" fontId="15" fillId="5" borderId="9" xfId="1" applyFont="1" applyFill="1" applyBorder="1" applyAlignment="1">
      <alignment horizontal="center" vertical="center"/>
    </xf>
    <xf numFmtId="0" fontId="15" fillId="5" borderId="10" xfId="1" applyFont="1" applyFill="1" applyBorder="1" applyAlignment="1">
      <alignment horizontal="center" vertical="center"/>
    </xf>
    <xf numFmtId="0" fontId="15" fillId="5" borderId="11" xfId="1" applyFont="1" applyFill="1" applyBorder="1" applyAlignment="1">
      <alignment horizontal="center" vertical="center"/>
    </xf>
    <xf numFmtId="0" fontId="15" fillId="5" borderId="12" xfId="1" applyFont="1" applyFill="1" applyBorder="1" applyAlignment="1">
      <alignment horizontal="center" vertical="center"/>
    </xf>
    <xf numFmtId="0" fontId="5" fillId="0" borderId="25" xfId="0" applyFont="1" applyBorder="1" applyAlignment="1">
      <alignment horizontal="center" vertical="center" wrapText="1" readingOrder="1"/>
    </xf>
    <xf numFmtId="0" fontId="5" fillId="0" borderId="41" xfId="0" applyFont="1" applyBorder="1" applyAlignment="1">
      <alignment horizontal="center" vertical="center" wrapText="1" readingOrder="1"/>
    </xf>
    <xf numFmtId="0" fontId="7" fillId="0" borderId="0" xfId="0" applyFont="1" applyAlignment="1">
      <alignment horizontal="left" vertical="top" wrapText="1" readingOrder="1"/>
    </xf>
    <xf numFmtId="0" fontId="9" fillId="2" borderId="1" xfId="0" applyFont="1" applyFill="1" applyBorder="1" applyAlignment="1">
      <alignment horizontal="center" vertical="center" wrapText="1" readingOrder="1"/>
    </xf>
    <xf numFmtId="0" fontId="9" fillId="2" borderId="13" xfId="0" applyFont="1" applyFill="1" applyBorder="1" applyAlignment="1">
      <alignment horizontal="center" vertical="center" wrapText="1" readingOrder="1"/>
    </xf>
    <xf numFmtId="0" fontId="5" fillId="0" borderId="43" xfId="0" applyFont="1" applyBorder="1" applyAlignment="1">
      <alignment horizontal="center" vertical="center" wrapText="1" readingOrder="1"/>
    </xf>
    <xf numFmtId="0" fontId="5" fillId="0" borderId="32" xfId="0" applyFont="1" applyBorder="1" applyAlignment="1">
      <alignment horizontal="center" vertical="center" wrapText="1" readingOrder="1"/>
    </xf>
    <xf numFmtId="0" fontId="5" fillId="0" borderId="33" xfId="0" applyFont="1" applyBorder="1" applyAlignment="1">
      <alignment horizontal="center" vertical="center" wrapText="1" readingOrder="1"/>
    </xf>
    <xf numFmtId="4" fontId="5" fillId="5" borderId="15" xfId="0" applyNumberFormat="1" applyFont="1" applyFill="1" applyBorder="1" applyAlignment="1">
      <alignment horizontal="center" vertical="center" wrapText="1" readingOrder="1"/>
    </xf>
    <xf numFmtId="0" fontId="5" fillId="0" borderId="24" xfId="0" applyFont="1" applyBorder="1" applyAlignment="1">
      <alignment vertical="center" wrapText="1" readingOrder="1"/>
    </xf>
    <xf numFmtId="0" fontId="5" fillId="0" borderId="41" xfId="0" applyFont="1" applyBorder="1" applyAlignment="1">
      <alignment vertical="center" wrapText="1" readingOrder="1"/>
    </xf>
    <xf numFmtId="0" fontId="5" fillId="0" borderId="19" xfId="0" applyFont="1" applyBorder="1" applyAlignment="1">
      <alignment horizontal="center" vertical="center" wrapText="1" readingOrder="1"/>
    </xf>
    <xf numFmtId="0" fontId="5" fillId="0" borderId="12" xfId="0" applyFont="1" applyBorder="1" applyAlignment="1">
      <alignment horizontal="center" vertical="center" wrapText="1" readingOrder="1"/>
    </xf>
    <xf numFmtId="4" fontId="5" fillId="5" borderId="42" xfId="0" applyNumberFormat="1" applyFont="1" applyFill="1" applyBorder="1" applyAlignment="1">
      <alignment horizontal="center" vertical="center" wrapText="1" readingOrder="1"/>
    </xf>
    <xf numFmtId="0" fontId="5" fillId="5" borderId="44" xfId="0" applyFont="1" applyFill="1" applyBorder="1" applyAlignment="1">
      <alignment horizontal="center" vertical="center" wrapText="1" readingOrder="1"/>
    </xf>
    <xf numFmtId="4" fontId="5" fillId="5" borderId="44" xfId="0" applyNumberFormat="1" applyFont="1" applyFill="1" applyBorder="1" applyAlignment="1">
      <alignment horizontal="center" vertical="center" wrapText="1" readingOrder="1"/>
    </xf>
    <xf numFmtId="0" fontId="5" fillId="5" borderId="45" xfId="0" applyFont="1" applyFill="1" applyBorder="1" applyAlignment="1">
      <alignment horizontal="left" vertical="center" wrapText="1" readingOrder="1"/>
    </xf>
    <xf numFmtId="0" fontId="5" fillId="5" borderId="46" xfId="0" applyFont="1" applyFill="1" applyBorder="1" applyAlignment="1">
      <alignment horizontal="left" vertical="center" wrapText="1" readingOrder="1"/>
    </xf>
    <xf numFmtId="0" fontId="5" fillId="0" borderId="47" xfId="0" applyFont="1" applyBorder="1" applyAlignment="1">
      <alignment horizontal="center" vertical="center" wrapText="1" readingOrder="1"/>
    </xf>
    <xf numFmtId="0" fontId="5" fillId="5" borderId="18" xfId="0" applyFont="1" applyFill="1" applyBorder="1" applyAlignment="1">
      <alignment horizontal="left" vertical="center" wrapText="1" readingOrder="1"/>
    </xf>
    <xf numFmtId="0" fontId="5" fillId="5" borderId="48" xfId="0" applyFont="1" applyFill="1" applyBorder="1" applyAlignment="1">
      <alignment horizontal="center" vertical="center" wrapText="1" readingOrder="1"/>
    </xf>
    <xf numFmtId="0" fontId="5" fillId="5" borderId="50" xfId="0" applyFont="1" applyFill="1" applyBorder="1" applyAlignment="1">
      <alignment horizontal="left" vertical="center" wrapText="1" readingOrder="1"/>
    </xf>
    <xf numFmtId="0" fontId="5" fillId="0" borderId="15" xfId="0" applyFont="1" applyBorder="1" applyAlignment="1">
      <alignment horizontal="center" vertical="center" wrapText="1" readingOrder="1"/>
    </xf>
    <xf numFmtId="2" fontId="5" fillId="0" borderId="49" xfId="0" applyNumberFormat="1" applyFont="1" applyBorder="1" applyAlignment="1">
      <alignment horizontal="center" vertical="center" wrapText="1" readingOrder="1"/>
    </xf>
    <xf numFmtId="43" fontId="5" fillId="0" borderId="22" xfId="3" applyFont="1" applyFill="1" applyBorder="1" applyAlignment="1">
      <alignment horizontal="center" vertical="center" wrapText="1" readingOrder="1"/>
    </xf>
    <xf numFmtId="43" fontId="5" fillId="0" borderId="19" xfId="3" applyFont="1" applyFill="1" applyBorder="1" applyAlignment="1">
      <alignment horizontal="center" vertical="center" wrapText="1" readingOrder="1"/>
    </xf>
    <xf numFmtId="43" fontId="5" fillId="0" borderId="41" xfId="3" applyFont="1" applyFill="1" applyBorder="1" applyAlignment="1">
      <alignment horizontal="center" vertical="center" wrapText="1" readingOrder="1"/>
    </xf>
    <xf numFmtId="43" fontId="5" fillId="0" borderId="14" xfId="3" applyFont="1" applyFill="1" applyBorder="1" applyAlignment="1">
      <alignment horizontal="center" vertical="center" wrapText="1" readingOrder="1"/>
    </xf>
    <xf numFmtId="43" fontId="5" fillId="0" borderId="37" xfId="3" applyFont="1" applyFill="1" applyBorder="1" applyAlignment="1">
      <alignment horizontal="center" vertical="center" wrapText="1" readingOrder="1"/>
    </xf>
    <xf numFmtId="43" fontId="5" fillId="0" borderId="21" xfId="3" applyFont="1" applyFill="1" applyBorder="1" applyAlignment="1">
      <alignment horizontal="center" vertical="center" wrapText="1" readingOrder="1"/>
    </xf>
    <xf numFmtId="43" fontId="5" fillId="0" borderId="40" xfId="3" applyFont="1" applyFill="1" applyBorder="1" applyAlignment="1">
      <alignment horizontal="center" vertical="center" wrapText="1" readingOrder="1"/>
    </xf>
    <xf numFmtId="43" fontId="5" fillId="0" borderId="17" xfId="3" applyFont="1" applyFill="1" applyBorder="1" applyAlignment="1">
      <alignment horizontal="center" vertical="center" wrapText="1" readingOrder="1"/>
    </xf>
    <xf numFmtId="43" fontId="5" fillId="0" borderId="18" xfId="3" applyFont="1" applyFill="1" applyBorder="1" applyAlignment="1">
      <alignment horizontal="center" vertical="center" wrapText="1" readingOrder="1"/>
    </xf>
    <xf numFmtId="43" fontId="5" fillId="0" borderId="38" xfId="3" applyFont="1" applyFill="1" applyBorder="1" applyAlignment="1">
      <alignment horizontal="center" vertical="center" wrapText="1" readingOrder="1"/>
    </xf>
    <xf numFmtId="43" fontId="5" fillId="0" borderId="43" xfId="3" applyFont="1" applyFill="1" applyBorder="1" applyAlignment="1">
      <alignment horizontal="center" vertical="center" wrapText="1" readingOrder="1"/>
    </xf>
    <xf numFmtId="0" fontId="5" fillId="5" borderId="42" xfId="0" applyFont="1" applyFill="1" applyBorder="1" applyAlignment="1">
      <alignment horizontal="center" vertical="center" wrapText="1" readingOrder="1"/>
    </xf>
    <xf numFmtId="17" fontId="3" fillId="10" borderId="51" xfId="0" applyNumberFormat="1" applyFont="1" applyFill="1" applyBorder="1"/>
    <xf numFmtId="43" fontId="5" fillId="0" borderId="14" xfId="0" applyNumberFormat="1" applyFont="1" applyBorder="1" applyAlignment="1">
      <alignment horizontal="center" vertical="center" wrapText="1" readingOrder="1"/>
    </xf>
    <xf numFmtId="0" fontId="15" fillId="0" borderId="55" xfId="0" applyFont="1" applyBorder="1" applyAlignment="1">
      <alignment horizontal="center" vertical="center" wrapText="1" readingOrder="1"/>
    </xf>
    <xf numFmtId="4" fontId="5" fillId="5" borderId="55" xfId="0" applyNumberFormat="1" applyFont="1" applyFill="1" applyBorder="1" applyAlignment="1">
      <alignment horizontal="center" vertical="center" wrapText="1" readingOrder="1"/>
    </xf>
    <xf numFmtId="0" fontId="11" fillId="0" borderId="2" xfId="0" applyFont="1" applyBorder="1" applyAlignment="1">
      <alignment vertical="center" wrapText="1" readingOrder="1"/>
    </xf>
    <xf numFmtId="0" fontId="15" fillId="5" borderId="1" xfId="1" applyFont="1" applyFill="1" applyBorder="1" applyAlignment="1">
      <alignment horizontal="center" vertical="center" wrapText="1"/>
    </xf>
    <xf numFmtId="0" fontId="11" fillId="6" borderId="19" xfId="0" applyFont="1" applyFill="1" applyBorder="1" applyAlignment="1">
      <alignment horizontal="center" vertical="center" wrapText="1" readingOrder="1"/>
    </xf>
    <xf numFmtId="0" fontId="5" fillId="0" borderId="34" xfId="0" applyFont="1" applyBorder="1" applyAlignment="1">
      <alignment horizontal="center" vertical="center" wrapText="1" readingOrder="1"/>
    </xf>
    <xf numFmtId="0" fontId="11" fillId="6" borderId="36" xfId="0" applyFont="1" applyFill="1" applyBorder="1" applyAlignment="1">
      <alignment horizontal="center" vertical="center" wrapText="1" readingOrder="1"/>
    </xf>
    <xf numFmtId="0" fontId="5" fillId="5" borderId="52" xfId="0" applyFont="1" applyFill="1" applyBorder="1" applyAlignment="1">
      <alignment horizontal="center" vertical="center" wrapText="1" readingOrder="1"/>
    </xf>
    <xf numFmtId="43" fontId="5" fillId="0" borderId="37" xfId="0" applyNumberFormat="1" applyFont="1" applyBorder="1" applyAlignment="1">
      <alignment horizontal="center" vertical="center" wrapText="1" readingOrder="1"/>
    </xf>
    <xf numFmtId="0" fontId="5" fillId="8" borderId="49" xfId="0" applyFont="1" applyFill="1" applyBorder="1" applyAlignment="1">
      <alignment horizontal="center" vertical="center" wrapText="1" readingOrder="1"/>
    </xf>
    <xf numFmtId="0" fontId="5" fillId="5" borderId="59" xfId="0" applyFont="1" applyFill="1" applyBorder="1" applyAlignment="1">
      <alignment horizontal="center" vertical="center" wrapText="1" readingOrder="1"/>
    </xf>
    <xf numFmtId="9" fontId="5" fillId="5" borderId="42" xfId="0" applyNumberFormat="1" applyFont="1" applyFill="1" applyBorder="1" applyAlignment="1">
      <alignment horizontal="center" vertical="center" wrapText="1" readingOrder="1"/>
    </xf>
    <xf numFmtId="9" fontId="5" fillId="0" borderId="53" xfId="0" applyNumberFormat="1" applyFont="1" applyBorder="1" applyAlignment="1">
      <alignment horizontal="center" vertical="center" wrapText="1" readingOrder="1"/>
    </xf>
    <xf numFmtId="9" fontId="5" fillId="0" borderId="42" xfId="0" applyNumberFormat="1" applyFont="1" applyBorder="1" applyAlignment="1">
      <alignment horizontal="center" vertical="center" wrapText="1" readingOrder="1"/>
    </xf>
    <xf numFmtId="165" fontId="3" fillId="0" borderId="0" xfId="0" applyNumberFormat="1" applyFont="1"/>
    <xf numFmtId="0" fontId="18" fillId="0" borderId="0" xfId="0" applyFont="1" applyAlignment="1">
      <alignment horizontal="center" vertical="center" wrapText="1" readingOrder="1"/>
    </xf>
    <xf numFmtId="0" fontId="17" fillId="5" borderId="15" xfId="0" applyFont="1" applyFill="1" applyBorder="1" applyAlignment="1">
      <alignment horizontal="center" vertical="center"/>
    </xf>
    <xf numFmtId="14" fontId="15" fillId="5" borderId="15" xfId="1" applyNumberFormat="1" applyFont="1" applyFill="1" applyBorder="1" applyAlignment="1">
      <alignment horizontal="center" vertical="center"/>
    </xf>
    <xf numFmtId="0" fontId="15" fillId="8" borderId="1" xfId="1" applyFont="1" applyFill="1" applyBorder="1" applyAlignment="1">
      <alignment horizontal="center" vertical="center"/>
    </xf>
    <xf numFmtId="0" fontId="15" fillId="5" borderId="2" xfId="1" applyFont="1" applyFill="1" applyBorder="1" applyAlignment="1">
      <alignment horizontal="center" vertical="center"/>
    </xf>
    <xf numFmtId="0" fontId="15" fillId="5" borderId="4" xfId="1" applyFont="1" applyFill="1" applyBorder="1" applyAlignment="1">
      <alignment horizontal="center" vertical="center"/>
    </xf>
    <xf numFmtId="0" fontId="16" fillId="5" borderId="1" xfId="1" applyFont="1" applyFill="1" applyBorder="1" applyAlignment="1">
      <alignment horizontal="center" vertical="center"/>
    </xf>
    <xf numFmtId="0" fontId="15" fillId="5" borderId="1" xfId="1" applyFont="1" applyFill="1" applyBorder="1" applyAlignment="1">
      <alignment horizontal="center" vertical="center"/>
    </xf>
    <xf numFmtId="0" fontId="16" fillId="5" borderId="2" xfId="1" applyFont="1" applyFill="1" applyBorder="1" applyAlignment="1">
      <alignment horizontal="center" vertical="center"/>
    </xf>
    <xf numFmtId="0" fontId="16" fillId="5" borderId="4" xfId="1" applyFont="1" applyFill="1" applyBorder="1" applyAlignment="1">
      <alignment horizontal="center" vertical="center"/>
    </xf>
    <xf numFmtId="0" fontId="15" fillId="5" borderId="1" xfId="1" applyFont="1" applyFill="1" applyBorder="1" applyAlignment="1">
      <alignment horizontal="center" vertical="center" wrapText="1"/>
    </xf>
    <xf numFmtId="0" fontId="16" fillId="8" borderId="1" xfId="1" applyFont="1" applyFill="1" applyBorder="1" applyAlignment="1">
      <alignment horizontal="center" vertical="center"/>
    </xf>
    <xf numFmtId="4" fontId="15" fillId="5" borderId="2" xfId="1" applyNumberFormat="1" applyFont="1" applyFill="1" applyBorder="1" applyAlignment="1">
      <alignment horizontal="center" vertical="center"/>
    </xf>
    <xf numFmtId="4" fontId="15" fillId="5" borderId="4" xfId="1" applyNumberFormat="1" applyFont="1" applyFill="1" applyBorder="1" applyAlignment="1">
      <alignment horizontal="center" vertical="center"/>
    </xf>
    <xf numFmtId="4" fontId="16" fillId="5" borderId="2" xfId="1" applyNumberFormat="1" applyFont="1" applyFill="1" applyBorder="1" applyAlignment="1">
      <alignment horizontal="center" vertical="center"/>
    </xf>
    <xf numFmtId="4" fontId="16" fillId="5" borderId="4" xfId="1" applyNumberFormat="1" applyFont="1" applyFill="1" applyBorder="1" applyAlignment="1">
      <alignment horizontal="center" vertical="center"/>
    </xf>
    <xf numFmtId="0" fontId="16" fillId="5" borderId="3" xfId="1" applyFont="1" applyFill="1" applyBorder="1" applyAlignment="1">
      <alignment horizontal="center" vertical="center"/>
    </xf>
    <xf numFmtId="0" fontId="16" fillId="5" borderId="2" xfId="1" applyFont="1" applyFill="1" applyBorder="1" applyAlignment="1">
      <alignment horizontal="left" vertical="center"/>
    </xf>
    <xf numFmtId="0" fontId="16" fillId="5" borderId="4" xfId="1" applyFont="1" applyFill="1" applyBorder="1" applyAlignment="1">
      <alignment horizontal="left" vertical="center"/>
    </xf>
    <xf numFmtId="0" fontId="16" fillId="5" borderId="2" xfId="1" applyFont="1" applyFill="1" applyBorder="1" applyAlignment="1">
      <alignment horizontal="center" vertical="center" wrapText="1"/>
    </xf>
    <xf numFmtId="0" fontId="16" fillId="5" borderId="3" xfId="1" applyFont="1" applyFill="1" applyBorder="1" applyAlignment="1">
      <alignment horizontal="center" vertical="center" wrapText="1"/>
    </xf>
    <xf numFmtId="0" fontId="16" fillId="5" borderId="4" xfId="1" applyFont="1" applyFill="1" applyBorder="1" applyAlignment="1">
      <alignment horizontal="center" vertical="center" wrapText="1"/>
    </xf>
    <xf numFmtId="0" fontId="21" fillId="5" borderId="2" xfId="1" applyFont="1" applyFill="1" applyBorder="1" applyAlignment="1">
      <alignment horizontal="center" vertical="center" wrapText="1"/>
    </xf>
    <xf numFmtId="0" fontId="21" fillId="5" borderId="3" xfId="1" applyFont="1" applyFill="1" applyBorder="1" applyAlignment="1">
      <alignment horizontal="center" vertical="center" wrapText="1"/>
    </xf>
    <xf numFmtId="0" fontId="21" fillId="5" borderId="4" xfId="1" applyFont="1" applyFill="1" applyBorder="1" applyAlignment="1">
      <alignment horizontal="center" vertical="center" wrapText="1"/>
    </xf>
    <xf numFmtId="0" fontId="16" fillId="5" borderId="5" xfId="1" applyFont="1" applyFill="1" applyBorder="1" applyAlignment="1">
      <alignment horizontal="center" vertical="center"/>
    </xf>
    <xf numFmtId="0" fontId="16" fillId="5" borderId="7" xfId="1" applyFont="1" applyFill="1" applyBorder="1" applyAlignment="1">
      <alignment horizontal="center" vertical="center"/>
    </xf>
    <xf numFmtId="0" fontId="16" fillId="5" borderId="3" xfId="1" applyFont="1" applyFill="1" applyBorder="1" applyAlignment="1">
      <alignment horizontal="left" vertical="center"/>
    </xf>
    <xf numFmtId="0" fontId="3" fillId="0" borderId="0" xfId="0" applyFont="1"/>
    <xf numFmtId="0" fontId="7" fillId="0" borderId="0" xfId="0" applyFont="1" applyAlignment="1">
      <alignment vertical="center" wrapText="1" readingOrder="1"/>
    </xf>
    <xf numFmtId="0" fontId="3" fillId="0" borderId="0" xfId="0" applyFont="1" applyAlignment="1">
      <alignment vertical="center"/>
    </xf>
    <xf numFmtId="0" fontId="8" fillId="0" borderId="0" xfId="0" applyFont="1" applyAlignment="1">
      <alignment vertical="center" wrapText="1" readingOrder="1"/>
    </xf>
    <xf numFmtId="0" fontId="8" fillId="0" borderId="0" xfId="0" applyFont="1" applyAlignment="1">
      <alignment horizontal="left" vertical="center" wrapText="1" readingOrder="1"/>
    </xf>
    <xf numFmtId="0" fontId="3" fillId="0" borderId="0" xfId="0" applyFont="1" applyAlignment="1">
      <alignment horizontal="left" vertical="center"/>
    </xf>
    <xf numFmtId="0" fontId="6" fillId="0" borderId="0" xfId="0" applyFont="1" applyAlignment="1">
      <alignment horizontal="left" vertical="center" wrapText="1" readingOrder="1"/>
    </xf>
    <xf numFmtId="0" fontId="5" fillId="3" borderId="1" xfId="0" applyFont="1" applyFill="1" applyBorder="1" applyAlignment="1">
      <alignment horizontal="center" vertical="center" wrapText="1" readingOrder="1"/>
    </xf>
    <xf numFmtId="0" fontId="13" fillId="2" borderId="0" xfId="0" applyFont="1" applyFill="1" applyAlignment="1">
      <alignment horizontal="center" vertical="center" wrapText="1" readingOrder="1"/>
    </xf>
    <xf numFmtId="0" fontId="13" fillId="2" borderId="9" xfId="0" applyFont="1" applyFill="1" applyBorder="1" applyAlignment="1">
      <alignment horizontal="center" vertical="center" wrapText="1" readingOrder="1"/>
    </xf>
    <xf numFmtId="0" fontId="13" fillId="2" borderId="11" xfId="0" applyFont="1" applyFill="1" applyBorder="1" applyAlignment="1">
      <alignment horizontal="center" vertical="center" wrapText="1" readingOrder="1"/>
    </xf>
    <xf numFmtId="0" fontId="13" fillId="2" borderId="12" xfId="0" applyFont="1" applyFill="1" applyBorder="1" applyAlignment="1">
      <alignment horizontal="center" vertical="center" wrapText="1" readingOrder="1"/>
    </xf>
    <xf numFmtId="0" fontId="13" fillId="2" borderId="10" xfId="0" applyFont="1" applyFill="1" applyBorder="1" applyAlignment="1">
      <alignment horizontal="center" vertical="center" wrapText="1" readingOrder="1"/>
    </xf>
    <xf numFmtId="0" fontId="11" fillId="0" borderId="1" xfId="0" applyFont="1" applyBorder="1" applyAlignment="1">
      <alignment horizontal="center" vertical="center" wrapText="1" readingOrder="1"/>
    </xf>
    <xf numFmtId="0" fontId="11" fillId="0" borderId="1" xfId="0" applyFont="1" applyBorder="1" applyAlignment="1">
      <alignment horizontal="left" vertical="center" wrapText="1" readingOrder="1"/>
    </xf>
    <xf numFmtId="0" fontId="3" fillId="0" borderId="1" xfId="0" applyFont="1" applyBorder="1" applyAlignment="1">
      <alignment horizontal="left" vertical="center" wrapText="1"/>
    </xf>
    <xf numFmtId="0" fontId="11" fillId="0" borderId="3" xfId="0" applyFont="1" applyBorder="1" applyAlignment="1">
      <alignment horizontal="center" vertical="center" wrapText="1" readingOrder="1"/>
    </xf>
    <xf numFmtId="0" fontId="11" fillId="0" borderId="4" xfId="0" applyFont="1" applyBorder="1" applyAlignment="1">
      <alignment horizontal="center"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1" fillId="0" borderId="4" xfId="0" applyFont="1" applyBorder="1" applyAlignment="1">
      <alignment horizontal="left" vertical="center" wrapText="1" readingOrder="1"/>
    </xf>
    <xf numFmtId="0" fontId="4" fillId="4" borderId="5" xfId="0" applyFont="1" applyFill="1" applyBorder="1" applyAlignment="1">
      <alignment horizontal="center" vertical="center" wrapText="1" readingOrder="1"/>
    </xf>
    <xf numFmtId="0" fontId="4" fillId="4" borderId="6" xfId="0" applyFont="1" applyFill="1" applyBorder="1" applyAlignment="1">
      <alignment horizontal="center" vertical="center" wrapText="1" readingOrder="1"/>
    </xf>
    <xf numFmtId="0" fontId="4" fillId="4" borderId="7" xfId="0" applyFont="1" applyFill="1" applyBorder="1" applyAlignment="1">
      <alignment horizontal="center" vertical="center" wrapText="1" readingOrder="1"/>
    </xf>
    <xf numFmtId="0" fontId="4" fillId="4" borderId="10" xfId="0" applyFont="1" applyFill="1" applyBorder="1" applyAlignment="1">
      <alignment horizontal="center" vertical="center" wrapText="1" readingOrder="1"/>
    </xf>
    <xf numFmtId="0" fontId="4" fillId="4" borderId="11" xfId="0" applyFont="1" applyFill="1" applyBorder="1" applyAlignment="1">
      <alignment horizontal="center" vertical="center" wrapText="1" readingOrder="1"/>
    </xf>
    <xf numFmtId="0" fontId="4" fillId="4" borderId="12" xfId="0" applyFont="1" applyFill="1" applyBorder="1" applyAlignment="1">
      <alignment horizontal="center" vertical="center" wrapText="1" readingOrder="1"/>
    </xf>
    <xf numFmtId="0" fontId="5" fillId="3" borderId="1" xfId="0" applyFont="1" applyFill="1" applyBorder="1" applyAlignment="1">
      <alignment horizontal="lef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11" fillId="0" borderId="2" xfId="0" applyFont="1" applyBorder="1" applyAlignment="1">
      <alignment horizontal="center" vertical="center" wrapText="1" readingOrder="1"/>
    </xf>
    <xf numFmtId="0" fontId="5" fillId="3" borderId="1" xfId="0" applyFont="1" applyFill="1" applyBorder="1" applyAlignment="1">
      <alignment horizontal="left" vertical="center" readingOrder="1"/>
    </xf>
    <xf numFmtId="0" fontId="5" fillId="3" borderId="1" xfId="0" applyFont="1" applyFill="1" applyBorder="1" applyAlignment="1">
      <alignment horizontal="center" vertical="center" readingOrder="1"/>
    </xf>
    <xf numFmtId="0" fontId="11" fillId="0" borderId="1" xfId="0" quotePrefix="1" applyFont="1" applyBorder="1" applyAlignment="1">
      <alignment horizontal="left" vertical="center" wrapText="1" readingOrder="1"/>
    </xf>
    <xf numFmtId="0" fontId="7" fillId="0" borderId="0" xfId="0" applyFont="1" applyAlignment="1">
      <alignment vertical="top" wrapText="1" readingOrder="1"/>
    </xf>
    <xf numFmtId="0" fontId="23" fillId="0" borderId="0" xfId="0" applyFont="1" applyAlignment="1">
      <alignment horizontal="left" vertical="center" wrapText="1" readingOrder="1"/>
    </xf>
    <xf numFmtId="0" fontId="8" fillId="0" borderId="0" xfId="0" applyFont="1" applyAlignment="1">
      <alignment horizontal="left" vertical="top" wrapText="1" readingOrder="1"/>
    </xf>
    <xf numFmtId="0" fontId="7" fillId="0" borderId="0" xfId="0" applyFont="1" applyAlignment="1">
      <alignment horizontal="left" vertical="top" wrapText="1" readingOrder="1"/>
    </xf>
    <xf numFmtId="0" fontId="9" fillId="7" borderId="19" xfId="0" applyFont="1" applyFill="1" applyBorder="1" applyAlignment="1">
      <alignment horizontal="center" vertical="center" wrapText="1" readingOrder="1"/>
    </xf>
    <xf numFmtId="0" fontId="9" fillId="7" borderId="24" xfId="0" applyFont="1" applyFill="1" applyBorder="1" applyAlignment="1">
      <alignment horizontal="center" vertical="center" wrapText="1" readingOrder="1"/>
    </xf>
    <xf numFmtId="0" fontId="9" fillId="2" borderId="20" xfId="0" applyFont="1" applyFill="1" applyBorder="1" applyAlignment="1">
      <alignment horizontal="center" vertical="center" wrapText="1" readingOrder="1"/>
    </xf>
    <xf numFmtId="0" fontId="9" fillId="2" borderId="21" xfId="0" applyFont="1" applyFill="1" applyBorder="1" applyAlignment="1">
      <alignment horizontal="center" vertical="center" wrapText="1" readingOrder="1"/>
    </xf>
    <xf numFmtId="0" fontId="9" fillId="2" borderId="16" xfId="0" applyFont="1" applyFill="1" applyBorder="1" applyAlignment="1">
      <alignment horizontal="center" vertical="center" wrapText="1" readingOrder="1"/>
    </xf>
    <xf numFmtId="0" fontId="9" fillId="2" borderId="18" xfId="0" applyFont="1" applyFill="1" applyBorder="1" applyAlignment="1">
      <alignment horizontal="center" vertical="center" wrapText="1" readingOrder="1"/>
    </xf>
    <xf numFmtId="0" fontId="9" fillId="2" borderId="19" xfId="0" applyFont="1" applyFill="1" applyBorder="1" applyAlignment="1">
      <alignment horizontal="center" vertical="center" wrapText="1" readingOrder="1"/>
    </xf>
    <xf numFmtId="0" fontId="9" fillId="2" borderId="24" xfId="0" applyFont="1" applyFill="1" applyBorder="1" applyAlignment="1">
      <alignment horizontal="center" vertical="center" wrapText="1" readingOrder="1"/>
    </xf>
    <xf numFmtId="0" fontId="9" fillId="2" borderId="25" xfId="0" applyFont="1" applyFill="1" applyBorder="1" applyAlignment="1">
      <alignment horizontal="center" vertical="center" wrapText="1" readingOrder="1"/>
    </xf>
    <xf numFmtId="0" fontId="9" fillId="2" borderId="26" xfId="0" applyFont="1" applyFill="1" applyBorder="1" applyAlignment="1">
      <alignment horizontal="center" vertical="center" wrapText="1" readingOrder="1"/>
    </xf>
    <xf numFmtId="0" fontId="9" fillId="2" borderId="27" xfId="0" applyFont="1" applyFill="1" applyBorder="1" applyAlignment="1">
      <alignment horizontal="center" vertical="center" wrapText="1" readingOrder="1"/>
    </xf>
    <xf numFmtId="0" fontId="19" fillId="0" borderId="28" xfId="0" applyFont="1" applyBorder="1" applyAlignment="1">
      <alignment horizontal="left" vertical="center" wrapText="1" readingOrder="1"/>
    </xf>
    <xf numFmtId="0" fontId="5" fillId="0" borderId="32" xfId="0" applyFont="1" applyBorder="1" applyAlignment="1">
      <alignment horizontal="center" vertical="center" wrapText="1" readingOrder="1"/>
    </xf>
    <xf numFmtId="0" fontId="5" fillId="0" borderId="30" xfId="0" applyFont="1" applyBorder="1" applyAlignment="1">
      <alignment horizontal="center" vertical="center" wrapText="1" readingOrder="1"/>
    </xf>
    <xf numFmtId="0" fontId="5" fillId="0" borderId="35" xfId="0" applyFont="1" applyBorder="1" applyAlignment="1">
      <alignment horizontal="center" vertical="center" wrapText="1" readingOrder="1"/>
    </xf>
    <xf numFmtId="0" fontId="5" fillId="0" borderId="31" xfId="0" applyFont="1" applyBorder="1" applyAlignment="1">
      <alignment horizontal="center" vertical="center" wrapText="1" readingOrder="1"/>
    </xf>
    <xf numFmtId="0" fontId="11" fillId="6" borderId="19" xfId="0" applyFont="1" applyFill="1" applyBorder="1" applyAlignment="1">
      <alignment horizontal="center" vertical="center" wrapText="1" readingOrder="1"/>
    </xf>
    <xf numFmtId="0" fontId="11" fillId="6" borderId="24" xfId="0" applyFont="1" applyFill="1" applyBorder="1" applyAlignment="1">
      <alignment horizontal="center" vertical="center" wrapText="1" readingOrder="1"/>
    </xf>
    <xf numFmtId="0" fontId="5" fillId="0" borderId="33" xfId="0" applyFont="1" applyBorder="1" applyAlignment="1">
      <alignment horizontal="center" vertical="center" wrapText="1" readingOrder="1"/>
    </xf>
    <xf numFmtId="0" fontId="5" fillId="0" borderId="34" xfId="0" applyFont="1" applyBorder="1" applyAlignment="1">
      <alignment horizontal="center" vertical="center" wrapText="1" readingOrder="1"/>
    </xf>
    <xf numFmtId="0" fontId="11" fillId="6" borderId="36" xfId="0" applyFont="1" applyFill="1" applyBorder="1" applyAlignment="1">
      <alignment horizontal="center" vertical="center" wrapText="1" readingOrder="1"/>
    </xf>
    <xf numFmtId="0" fontId="5" fillId="5" borderId="54" xfId="0" applyFont="1" applyFill="1" applyBorder="1" applyAlignment="1">
      <alignment horizontal="center" vertical="center" wrapText="1" readingOrder="1"/>
    </xf>
    <xf numFmtId="0" fontId="5" fillId="5" borderId="52" xfId="0" applyFont="1" applyFill="1" applyBorder="1" applyAlignment="1">
      <alignment horizontal="center" vertical="center" wrapText="1" readingOrder="1"/>
    </xf>
    <xf numFmtId="0" fontId="5" fillId="5" borderId="56" xfId="0" applyFont="1" applyFill="1" applyBorder="1" applyAlignment="1">
      <alignment horizontal="center" vertical="center" wrapText="1" readingOrder="1"/>
    </xf>
    <xf numFmtId="0" fontId="19" fillId="0" borderId="0" xfId="0" applyFont="1" applyAlignment="1">
      <alignment horizontal="left" vertical="center" wrapText="1" readingOrder="1"/>
    </xf>
    <xf numFmtId="0" fontId="9" fillId="2" borderId="13" xfId="0" applyFont="1" applyFill="1" applyBorder="1" applyAlignment="1">
      <alignment horizontal="center" vertical="center" wrapText="1" readingOrder="1"/>
    </xf>
    <xf numFmtId="0" fontId="9" fillId="2" borderId="29" xfId="0" applyFont="1" applyFill="1" applyBorder="1" applyAlignment="1">
      <alignment horizontal="center" vertical="center" wrapText="1" readingOrder="1"/>
    </xf>
    <xf numFmtId="0" fontId="26" fillId="9" borderId="25" xfId="0" applyFont="1" applyFill="1" applyBorder="1" applyAlignment="1">
      <alignment horizontal="center" vertical="center" wrapText="1"/>
    </xf>
    <xf numFmtId="0" fontId="26" fillId="9" borderId="27" xfId="0" applyFont="1" applyFill="1" applyBorder="1" applyAlignment="1">
      <alignment horizontal="center" vertical="center" wrapText="1"/>
    </xf>
    <xf numFmtId="0" fontId="9" fillId="2" borderId="2" xfId="0" applyFont="1" applyFill="1" applyBorder="1" applyAlignment="1">
      <alignment horizontal="center" vertical="center" wrapText="1" readingOrder="1"/>
    </xf>
    <xf numFmtId="0" fontId="9" fillId="2" borderId="3" xfId="0" applyFont="1" applyFill="1" applyBorder="1" applyAlignment="1">
      <alignment horizontal="center" vertical="center" wrapText="1" readingOrder="1"/>
    </xf>
    <xf numFmtId="0" fontId="9" fillId="2" borderId="5" xfId="0" applyFont="1" applyFill="1" applyBorder="1" applyAlignment="1">
      <alignment horizontal="center" vertical="center" wrapText="1" readingOrder="1"/>
    </xf>
    <xf numFmtId="0" fontId="9" fillId="2" borderId="7" xfId="0" applyFont="1" applyFill="1" applyBorder="1" applyAlignment="1">
      <alignment horizontal="center" vertical="center" wrapText="1" readingOrder="1"/>
    </xf>
    <xf numFmtId="0" fontId="9" fillId="2" borderId="8" xfId="0" applyFont="1" applyFill="1" applyBorder="1" applyAlignment="1">
      <alignment horizontal="center" vertical="center" wrapText="1" readingOrder="1"/>
    </xf>
    <xf numFmtId="0" fontId="9" fillId="2" borderId="9" xfId="0" applyFont="1" applyFill="1" applyBorder="1" applyAlignment="1">
      <alignment horizontal="center" vertical="center" wrapText="1" readingOrder="1"/>
    </xf>
    <xf numFmtId="0" fontId="5" fillId="5" borderId="57" xfId="0" applyFont="1" applyFill="1" applyBorder="1" applyAlignment="1">
      <alignment horizontal="center" vertical="center" wrapText="1" readingOrder="1"/>
    </xf>
    <xf numFmtId="0" fontId="5" fillId="5" borderId="58" xfId="0" applyFont="1" applyFill="1" applyBorder="1" applyAlignment="1">
      <alignment horizontal="center" vertical="center" wrapText="1" readingOrder="1"/>
    </xf>
    <xf numFmtId="0" fontId="26" fillId="9" borderId="32" xfId="0" applyFont="1" applyFill="1" applyBorder="1" applyAlignment="1">
      <alignment horizontal="center" vertical="center" wrapText="1"/>
    </xf>
    <xf numFmtId="0" fontId="26" fillId="9" borderId="30" xfId="0" applyFont="1" applyFill="1" applyBorder="1" applyAlignment="1">
      <alignment horizontal="center" vertical="center" wrapText="1"/>
    </xf>
    <xf numFmtId="0" fontId="26" fillId="9" borderId="33" xfId="0" applyFont="1" applyFill="1" applyBorder="1" applyAlignment="1">
      <alignment horizontal="center" vertical="center" wrapText="1"/>
    </xf>
    <xf numFmtId="0" fontId="26" fillId="9" borderId="34" xfId="0" applyFont="1" applyFill="1" applyBorder="1" applyAlignment="1">
      <alignment horizontal="center" vertical="center" wrapText="1"/>
    </xf>
    <xf numFmtId="0" fontId="8" fillId="0" borderId="11" xfId="0" applyFont="1" applyBorder="1" applyAlignment="1">
      <alignment horizontal="left" vertical="center" wrapText="1" readingOrder="1"/>
    </xf>
    <xf numFmtId="0" fontId="22" fillId="0" borderId="0" xfId="0" applyFont="1" applyAlignment="1">
      <alignment horizontal="left" vertical="center" wrapText="1" readingOrder="1"/>
    </xf>
  </cellXfs>
  <cellStyles count="4">
    <cellStyle name="Millares" xfId="3" builtinId="3"/>
    <cellStyle name="Normal" xfId="0" builtinId="0"/>
    <cellStyle name="Normal 2" xfId="1" xr:uid="{00000000-0005-0000-0000-000002000000}"/>
    <cellStyle name="Normal 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365838"/>
      <rgbColor rgb="00D3D3D3"/>
      <rgbColor rgb="002E8B57"/>
      <rgbColor rgb="00808080"/>
      <rgbColor rgb="00FFFFFF"/>
      <rgbColor rgb="0066CDAA"/>
      <rgbColor rgb="0090EE90"/>
      <rgbColor rgb="00A3CBA3"/>
      <rgbColor rgb="00A9A9A9"/>
      <rgbColor rgb="0032CD32"/>
      <rgbColor rgb="003CB371"/>
      <rgbColor rgb="004A7349"/>
      <rgbColor rgb="00008080"/>
      <rgbColor rgb="00C0C0C0"/>
      <rgbColor rgb="000000FF"/>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0</xdr:col>
      <xdr:colOff>295274</xdr:colOff>
      <xdr:row>0</xdr:row>
      <xdr:rowOff>57150</xdr:rowOff>
    </xdr:from>
    <xdr:to>
      <xdr:col>1</xdr:col>
      <xdr:colOff>590550</xdr:colOff>
      <xdr:row>2</xdr:row>
      <xdr:rowOff>19050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295274" y="57150"/>
          <a:ext cx="1057276" cy="5429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8</xdr:col>
      <xdr:colOff>682625</xdr:colOff>
      <xdr:row>1</xdr:row>
      <xdr:rowOff>79375</xdr:rowOff>
    </xdr:to>
    <xdr:pic>
      <xdr:nvPicPr>
        <xdr:cNvPr id="4" name="Picture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a:fillRect/>
        </a:stretch>
      </xdr:blipFill>
      <xdr:spPr>
        <a:xfrm>
          <a:off x="38100" y="76200"/>
          <a:ext cx="3749675" cy="393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126999</xdr:colOff>
      <xdr:row>2</xdr:row>
      <xdr:rowOff>0</xdr:rowOff>
    </xdr:from>
    <xdr:to>
      <xdr:col>4</xdr:col>
      <xdr:colOff>1047750</xdr:colOff>
      <xdr:row>3</xdr:row>
      <xdr:rowOff>2117</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126999" y="52917"/>
          <a:ext cx="2931584" cy="393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126999</xdr:colOff>
      <xdr:row>2</xdr:row>
      <xdr:rowOff>0</xdr:rowOff>
    </xdr:from>
    <xdr:to>
      <xdr:col>4</xdr:col>
      <xdr:colOff>1047750</xdr:colOff>
      <xdr:row>3</xdr:row>
      <xdr:rowOff>2117</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126999" y="47625"/>
          <a:ext cx="2797176" cy="392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xdr:row>
      <xdr:rowOff>0</xdr:rowOff>
    </xdr:from>
    <xdr:to>
      <xdr:col>3</xdr:col>
      <xdr:colOff>2463800</xdr:colOff>
      <xdr:row>2</xdr:row>
      <xdr:rowOff>393700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2"/>
  <sheetViews>
    <sheetView showGridLines="0" topLeftCell="B2" zoomScale="98" zoomScaleNormal="98" workbookViewId="0">
      <selection activeCell="C5" sqref="C5:D5"/>
    </sheetView>
  </sheetViews>
  <sheetFormatPr baseColWidth="10" defaultRowHeight="14.4" x14ac:dyDescent="0.3"/>
  <cols>
    <col min="2" max="2" width="16.33203125" customWidth="1"/>
    <col min="3" max="3" width="11.44140625" customWidth="1"/>
    <col min="4" max="4" width="12.33203125" customWidth="1"/>
    <col min="5" max="5" width="11.44140625" customWidth="1"/>
    <col min="6" max="6" width="15.5546875" customWidth="1"/>
    <col min="7" max="7" width="13.109375" customWidth="1"/>
    <col min="8" max="8" width="6.88671875" customWidth="1"/>
    <col min="9" max="9" width="13.88671875" customWidth="1"/>
    <col min="10" max="10" width="12.109375" customWidth="1"/>
    <col min="11" max="11" width="14.88671875" bestFit="1" customWidth="1"/>
    <col min="12" max="12" width="9.5546875" customWidth="1"/>
  </cols>
  <sheetData>
    <row r="2" spans="1:12" ht="30.75" customHeight="1" x14ac:dyDescent="0.3">
      <c r="A2" s="13"/>
      <c r="B2" s="13"/>
      <c r="C2" s="124" t="s">
        <v>61</v>
      </c>
      <c r="D2" s="124"/>
      <c r="E2" s="124"/>
      <c r="F2" s="124"/>
      <c r="G2" s="124"/>
      <c r="H2" s="124"/>
      <c r="I2" s="124"/>
      <c r="J2" s="124"/>
      <c r="K2" s="124"/>
      <c r="L2" s="124"/>
    </row>
    <row r="3" spans="1:12" ht="9" customHeight="1" x14ac:dyDescent="0.3">
      <c r="A3" s="13"/>
      <c r="B3" s="13"/>
      <c r="C3" s="13"/>
      <c r="D3" s="13"/>
      <c r="E3" s="13"/>
      <c r="F3" s="13"/>
      <c r="G3" s="13"/>
      <c r="H3" s="13"/>
      <c r="I3" s="13"/>
      <c r="J3" s="13"/>
      <c r="K3" s="13"/>
      <c r="L3" s="13"/>
    </row>
    <row r="4" spans="1:12" ht="22.5" customHeight="1" x14ac:dyDescent="0.3">
      <c r="A4" s="23" t="s">
        <v>49</v>
      </c>
      <c r="B4" s="13"/>
      <c r="C4" s="13"/>
      <c r="D4" s="13"/>
      <c r="E4" s="13"/>
      <c r="F4" s="13"/>
      <c r="G4" s="13"/>
      <c r="H4" s="13"/>
      <c r="I4" s="13"/>
      <c r="J4" s="13"/>
      <c r="K4" s="13"/>
      <c r="L4" s="13"/>
    </row>
    <row r="5" spans="1:12" s="12" customFormat="1" ht="21.75" customHeight="1" x14ac:dyDescent="0.3">
      <c r="A5" s="130" t="s">
        <v>22</v>
      </c>
      <c r="B5" s="130"/>
      <c r="C5" s="132" t="s">
        <v>112</v>
      </c>
      <c r="D5" s="133"/>
      <c r="E5" s="132" t="s">
        <v>32</v>
      </c>
      <c r="F5" s="133"/>
      <c r="G5" s="45" t="s">
        <v>113</v>
      </c>
      <c r="H5" s="130" t="s">
        <v>23</v>
      </c>
      <c r="I5" s="130"/>
      <c r="J5" s="131" t="s">
        <v>52</v>
      </c>
      <c r="K5" s="131"/>
      <c r="L5" s="131"/>
    </row>
    <row r="6" spans="1:12" s="12" customFormat="1" ht="12" customHeight="1" x14ac:dyDescent="0.3">
      <c r="A6" s="46"/>
      <c r="B6" s="46"/>
      <c r="C6" s="46"/>
      <c r="D6" s="46"/>
      <c r="E6" s="46"/>
      <c r="F6" s="46"/>
      <c r="G6" s="46"/>
      <c r="H6" s="46"/>
      <c r="I6" s="46"/>
      <c r="J6" s="46"/>
      <c r="K6" s="46"/>
      <c r="L6" s="46"/>
    </row>
    <row r="7" spans="1:12" s="12" customFormat="1" ht="32.25" customHeight="1" x14ac:dyDescent="0.3">
      <c r="A7" s="141" t="s">
        <v>24</v>
      </c>
      <c r="B7" s="151"/>
      <c r="C7" s="143" t="s">
        <v>114</v>
      </c>
      <c r="D7" s="144"/>
      <c r="E7" s="144"/>
      <c r="F7" s="144"/>
      <c r="G7" s="145"/>
      <c r="H7" s="141" t="s">
        <v>5</v>
      </c>
      <c r="I7" s="142"/>
      <c r="J7" s="47">
        <v>20448433316</v>
      </c>
      <c r="K7" s="48" t="s">
        <v>34</v>
      </c>
      <c r="L7" s="45">
        <v>27</v>
      </c>
    </row>
    <row r="8" spans="1:12" s="12" customFormat="1" ht="45.75" customHeight="1" x14ac:dyDescent="0.3">
      <c r="A8" s="141" t="s">
        <v>62</v>
      </c>
      <c r="B8" s="151"/>
      <c r="C8" s="146" t="s">
        <v>115</v>
      </c>
      <c r="D8" s="147"/>
      <c r="E8" s="147"/>
      <c r="F8" s="147"/>
      <c r="G8" s="148"/>
      <c r="H8" s="141" t="s">
        <v>16</v>
      </c>
      <c r="I8" s="142"/>
      <c r="J8" s="112" t="s">
        <v>155</v>
      </c>
      <c r="K8" s="48" t="s">
        <v>35</v>
      </c>
      <c r="L8" s="45">
        <v>2360.21</v>
      </c>
    </row>
    <row r="9" spans="1:12" s="15" customFormat="1" ht="12" customHeight="1" x14ac:dyDescent="0.2">
      <c r="A9" s="49"/>
      <c r="B9" s="49"/>
      <c r="C9" s="49"/>
      <c r="D9" s="49"/>
      <c r="E9" s="49"/>
      <c r="F9" s="49"/>
      <c r="G9" s="49"/>
      <c r="H9" s="49"/>
      <c r="I9" s="49"/>
      <c r="J9" s="49"/>
      <c r="K9" s="49"/>
      <c r="L9" s="49"/>
    </row>
    <row r="10" spans="1:12" s="15" customFormat="1" ht="18.75" customHeight="1" x14ac:dyDescent="0.2">
      <c r="A10" s="50" t="s">
        <v>55</v>
      </c>
      <c r="B10" s="49"/>
      <c r="C10" s="49"/>
      <c r="D10" s="49"/>
      <c r="E10" s="49"/>
      <c r="F10" s="49"/>
      <c r="G10" s="49"/>
      <c r="H10" s="49"/>
      <c r="I10" s="49"/>
      <c r="J10" s="49"/>
      <c r="K10" s="49"/>
      <c r="L10" s="49"/>
    </row>
    <row r="11" spans="1:12" s="12" customFormat="1" ht="17.25" customHeight="1" x14ac:dyDescent="0.3">
      <c r="A11" s="130" t="s">
        <v>33</v>
      </c>
      <c r="B11" s="130"/>
      <c r="C11" s="130" t="s">
        <v>1</v>
      </c>
      <c r="D11" s="130"/>
      <c r="E11" s="130" t="s">
        <v>2</v>
      </c>
      <c r="F11" s="130"/>
      <c r="G11" s="51" t="s">
        <v>25</v>
      </c>
      <c r="H11" s="46"/>
      <c r="I11" s="135" t="s">
        <v>26</v>
      </c>
      <c r="J11" s="135"/>
      <c r="K11" s="135"/>
      <c r="L11" s="135"/>
    </row>
    <row r="12" spans="1:12" s="12" customFormat="1" ht="11.25" customHeight="1" x14ac:dyDescent="0.3">
      <c r="A12" s="131" t="s">
        <v>94</v>
      </c>
      <c r="B12" s="131"/>
      <c r="C12" s="131" t="s">
        <v>116</v>
      </c>
      <c r="D12" s="131"/>
      <c r="E12" s="131" t="s">
        <v>117</v>
      </c>
      <c r="F12" s="131"/>
      <c r="G12" s="134" t="s">
        <v>118</v>
      </c>
      <c r="H12" s="46"/>
      <c r="I12" s="135" t="s">
        <v>27</v>
      </c>
      <c r="J12" s="135"/>
      <c r="K12" s="135" t="s">
        <v>28</v>
      </c>
      <c r="L12" s="135"/>
    </row>
    <row r="13" spans="1:12" s="12" customFormat="1" ht="14.25" customHeight="1" x14ac:dyDescent="0.3">
      <c r="A13" s="131"/>
      <c r="B13" s="131"/>
      <c r="C13" s="131"/>
      <c r="D13" s="131"/>
      <c r="E13" s="131"/>
      <c r="F13" s="131"/>
      <c r="G13" s="134"/>
      <c r="H13" s="46"/>
      <c r="I13" s="127"/>
      <c r="J13" s="127"/>
      <c r="K13" s="127"/>
      <c r="L13" s="127"/>
    </row>
    <row r="14" spans="1:12" s="12" customFormat="1" ht="12" customHeight="1" x14ac:dyDescent="0.3">
      <c r="A14" s="46"/>
      <c r="B14" s="46"/>
      <c r="C14" s="46"/>
      <c r="D14" s="46"/>
      <c r="E14" s="46"/>
      <c r="F14" s="46"/>
      <c r="G14" s="46"/>
      <c r="H14" s="46"/>
      <c r="I14" s="46"/>
      <c r="J14" s="46"/>
      <c r="K14" s="46"/>
      <c r="L14" s="46"/>
    </row>
    <row r="15" spans="1:12" s="12" customFormat="1" ht="20.25" customHeight="1" x14ac:dyDescent="0.3">
      <c r="A15" s="50" t="s">
        <v>64</v>
      </c>
      <c r="B15" s="46"/>
      <c r="C15" s="46"/>
      <c r="D15" s="46"/>
      <c r="E15" s="46"/>
      <c r="F15" s="46"/>
      <c r="G15" s="50" t="s">
        <v>63</v>
      </c>
      <c r="H15" s="46"/>
      <c r="I15" s="46"/>
      <c r="J15" s="46"/>
      <c r="K15" s="46"/>
      <c r="L15" s="46"/>
    </row>
    <row r="16" spans="1:12" s="12" customFormat="1" ht="15.75" customHeight="1" x14ac:dyDescent="0.3">
      <c r="A16" s="46"/>
      <c r="B16" s="125" t="s">
        <v>48</v>
      </c>
      <c r="C16" s="125"/>
      <c r="D16" s="125"/>
      <c r="E16" s="125"/>
      <c r="F16" s="52"/>
      <c r="G16" s="149" t="s">
        <v>37</v>
      </c>
      <c r="H16" s="150"/>
      <c r="I16" s="132" t="s">
        <v>38</v>
      </c>
      <c r="J16" s="133"/>
      <c r="K16" s="53" t="s">
        <v>9</v>
      </c>
      <c r="L16" s="46"/>
    </row>
    <row r="17" spans="1:12" s="12" customFormat="1" ht="18.75" customHeight="1" x14ac:dyDescent="0.3">
      <c r="A17" s="46"/>
      <c r="B17" s="125" t="s">
        <v>53</v>
      </c>
      <c r="C17" s="125"/>
      <c r="D17" s="125" t="s">
        <v>54</v>
      </c>
      <c r="E17" s="125"/>
      <c r="F17" s="52"/>
      <c r="G17" s="128" t="s">
        <v>29</v>
      </c>
      <c r="H17" s="129"/>
      <c r="I17" s="136">
        <f>I19*K17</f>
        <v>409882.4</v>
      </c>
      <c r="J17" s="137"/>
      <c r="K17" s="54">
        <v>0.8</v>
      </c>
      <c r="L17" s="46"/>
    </row>
    <row r="18" spans="1:12" s="12" customFormat="1" ht="19.5" customHeight="1" x14ac:dyDescent="0.3">
      <c r="A18" s="55" t="s">
        <v>46</v>
      </c>
      <c r="B18" s="126">
        <v>45749</v>
      </c>
      <c r="C18" s="126"/>
      <c r="D18" s="126" t="s">
        <v>119</v>
      </c>
      <c r="E18" s="126"/>
      <c r="F18" s="52"/>
      <c r="G18" s="128" t="s">
        <v>44</v>
      </c>
      <c r="H18" s="129"/>
      <c r="I18" s="136">
        <f>I19*K18</f>
        <v>102470.6</v>
      </c>
      <c r="J18" s="137"/>
      <c r="K18" s="54">
        <v>0.2</v>
      </c>
      <c r="L18" s="46"/>
    </row>
    <row r="19" spans="1:12" s="12" customFormat="1" ht="19.5" customHeight="1" x14ac:dyDescent="0.3">
      <c r="A19" s="55" t="s">
        <v>47</v>
      </c>
      <c r="B19" s="126">
        <v>45933</v>
      </c>
      <c r="C19" s="126"/>
      <c r="D19" s="126">
        <v>46114</v>
      </c>
      <c r="E19" s="126"/>
      <c r="F19" s="52"/>
      <c r="G19" s="132" t="s">
        <v>30</v>
      </c>
      <c r="H19" s="133"/>
      <c r="I19" s="138">
        <f>'Formato 01'!M10</f>
        <v>512353</v>
      </c>
      <c r="J19" s="139"/>
      <c r="K19" s="53">
        <f>SUM(K17:K18)</f>
        <v>1</v>
      </c>
      <c r="L19" s="46"/>
    </row>
    <row r="20" spans="1:12" s="12" customFormat="1" ht="6.75" customHeight="1" x14ac:dyDescent="0.3">
      <c r="A20" s="56"/>
      <c r="B20" s="56"/>
      <c r="C20" s="56"/>
      <c r="D20" s="57"/>
      <c r="E20" s="56"/>
      <c r="F20" s="56"/>
      <c r="G20" s="57"/>
      <c r="H20" s="56"/>
      <c r="I20" s="56"/>
      <c r="J20" s="58"/>
      <c r="K20" s="46"/>
      <c r="L20" s="59"/>
    </row>
    <row r="21" spans="1:12" s="12" customFormat="1" ht="19.5" customHeight="1" x14ac:dyDescent="0.3">
      <c r="A21" s="60"/>
      <c r="B21" s="56"/>
      <c r="C21" s="61"/>
      <c r="D21" s="61"/>
      <c r="E21" s="61"/>
      <c r="F21" s="61"/>
      <c r="G21" s="61"/>
      <c r="H21" s="61"/>
      <c r="I21" s="61">
        <f>8000+230256+63162.88</f>
        <v>301418.88</v>
      </c>
      <c r="J21" s="62"/>
      <c r="K21" s="46"/>
      <c r="L21" s="46"/>
    </row>
    <row r="22" spans="1:12" s="12" customFormat="1" ht="10.5" customHeight="1" x14ac:dyDescent="0.3">
      <c r="A22" s="46"/>
      <c r="B22" s="46"/>
      <c r="C22" s="46"/>
      <c r="D22" s="46"/>
      <c r="E22" s="46"/>
      <c r="F22" s="46"/>
      <c r="G22" s="46"/>
      <c r="H22" s="46"/>
      <c r="I22" s="46"/>
      <c r="J22" s="46"/>
      <c r="K22" s="46"/>
      <c r="L22" s="46"/>
    </row>
    <row r="23" spans="1:12" s="16" customFormat="1" ht="18.75" customHeight="1" x14ac:dyDescent="0.3">
      <c r="A23" s="132" t="s">
        <v>31</v>
      </c>
      <c r="B23" s="140"/>
      <c r="C23" s="140"/>
      <c r="D23" s="133"/>
      <c r="E23" s="132" t="s">
        <v>36</v>
      </c>
      <c r="F23" s="140"/>
      <c r="G23" s="140"/>
      <c r="H23" s="133"/>
      <c r="I23" s="132" t="s">
        <v>50</v>
      </c>
      <c r="J23" s="140"/>
      <c r="K23" s="140"/>
      <c r="L23" s="133"/>
    </row>
    <row r="24" spans="1:12" s="12" customFormat="1" ht="10.199999999999999" x14ac:dyDescent="0.3">
      <c r="A24" s="63"/>
      <c r="B24" s="64"/>
      <c r="C24" s="64"/>
      <c r="D24" s="65"/>
      <c r="E24" s="63"/>
      <c r="F24" s="64"/>
      <c r="G24" s="64"/>
      <c r="H24" s="65"/>
      <c r="I24" s="63"/>
      <c r="J24" s="64"/>
      <c r="K24" s="64"/>
      <c r="L24" s="65"/>
    </row>
    <row r="25" spans="1:12" s="12" customFormat="1" ht="10.199999999999999" x14ac:dyDescent="0.3">
      <c r="A25" s="66"/>
      <c r="B25" s="59"/>
      <c r="C25" s="59"/>
      <c r="D25" s="67"/>
      <c r="E25" s="66"/>
      <c r="F25" s="59"/>
      <c r="G25" s="59"/>
      <c r="H25" s="67"/>
      <c r="I25" s="66"/>
      <c r="J25" s="59"/>
      <c r="K25" s="59"/>
      <c r="L25" s="67"/>
    </row>
    <row r="26" spans="1:12" s="12" customFormat="1" ht="10.199999999999999" x14ac:dyDescent="0.3">
      <c r="A26" s="66"/>
      <c r="B26" s="59"/>
      <c r="C26" s="59"/>
      <c r="D26" s="67"/>
      <c r="E26" s="66"/>
      <c r="F26" s="59"/>
      <c r="G26" s="59"/>
      <c r="H26" s="67"/>
      <c r="I26" s="66"/>
      <c r="J26" s="59"/>
      <c r="K26" s="59"/>
      <c r="L26" s="67"/>
    </row>
    <row r="27" spans="1:12" s="12" customFormat="1" ht="10.199999999999999" x14ac:dyDescent="0.3">
      <c r="A27" s="66"/>
      <c r="B27" s="59"/>
      <c r="C27" s="59"/>
      <c r="D27" s="67"/>
      <c r="E27" s="66"/>
      <c r="F27" s="59"/>
      <c r="G27" s="59"/>
      <c r="H27" s="67"/>
      <c r="I27" s="66"/>
      <c r="J27" s="59"/>
      <c r="K27" s="59"/>
      <c r="L27" s="67"/>
    </row>
    <row r="28" spans="1:12" s="12" customFormat="1" ht="10.199999999999999" x14ac:dyDescent="0.3">
      <c r="A28" s="66"/>
      <c r="B28" s="59"/>
      <c r="C28" s="59"/>
      <c r="D28" s="67"/>
      <c r="E28" s="66"/>
      <c r="F28" s="59"/>
      <c r="G28" s="59"/>
      <c r="H28" s="67"/>
      <c r="I28" s="66"/>
      <c r="J28" s="59"/>
      <c r="K28" s="59"/>
      <c r="L28" s="67"/>
    </row>
    <row r="29" spans="1:12" s="12" customFormat="1" ht="10.199999999999999" x14ac:dyDescent="0.3">
      <c r="A29" s="66"/>
      <c r="B29" s="59"/>
      <c r="C29" s="59"/>
      <c r="D29" s="67"/>
      <c r="E29" s="66"/>
      <c r="F29" s="59"/>
      <c r="G29" s="59"/>
      <c r="H29" s="67"/>
      <c r="I29" s="66"/>
      <c r="J29" s="59"/>
      <c r="K29" s="59"/>
      <c r="L29" s="67"/>
    </row>
    <row r="30" spans="1:12" s="12" customFormat="1" ht="10.199999999999999" x14ac:dyDescent="0.3">
      <c r="A30" s="66"/>
      <c r="B30" s="59"/>
      <c r="C30" s="59"/>
      <c r="D30" s="67"/>
      <c r="E30" s="66"/>
      <c r="F30" s="59"/>
      <c r="G30" s="59"/>
      <c r="H30" s="67"/>
      <c r="I30" s="66"/>
      <c r="J30" s="59"/>
      <c r="K30" s="59"/>
      <c r="L30" s="67"/>
    </row>
    <row r="31" spans="1:12" s="12" customFormat="1" ht="10.199999999999999" x14ac:dyDescent="0.3">
      <c r="A31" s="68"/>
      <c r="B31" s="69"/>
      <c r="C31" s="69"/>
      <c r="D31" s="70"/>
      <c r="E31" s="68"/>
      <c r="F31" s="69"/>
      <c r="G31" s="69"/>
      <c r="H31" s="70"/>
      <c r="I31" s="68"/>
      <c r="J31" s="69"/>
      <c r="K31" s="69"/>
      <c r="L31" s="70"/>
    </row>
    <row r="32" spans="1:12" s="16" customFormat="1" ht="15.75" customHeight="1" x14ac:dyDescent="0.3">
      <c r="A32" s="132" t="s">
        <v>3</v>
      </c>
      <c r="B32" s="140"/>
      <c r="C32" s="140"/>
      <c r="D32" s="133"/>
      <c r="E32" s="132" t="s">
        <v>3</v>
      </c>
      <c r="F32" s="140"/>
      <c r="G32" s="140"/>
      <c r="H32" s="133"/>
      <c r="I32" s="132" t="s">
        <v>3</v>
      </c>
      <c r="J32" s="140"/>
      <c r="K32" s="140"/>
      <c r="L32" s="133"/>
    </row>
    <row r="33" spans="7:12" ht="7.5" customHeight="1" x14ac:dyDescent="0.3"/>
    <row r="34" spans="7:12" x14ac:dyDescent="0.3">
      <c r="H34" s="12"/>
      <c r="I34" s="12"/>
      <c r="J34" s="12"/>
      <c r="K34" s="12"/>
      <c r="L34" s="12"/>
    </row>
    <row r="35" spans="7:12" x14ac:dyDescent="0.3">
      <c r="H35" s="12"/>
      <c r="I35" s="12"/>
      <c r="J35" s="12"/>
      <c r="K35" s="12"/>
      <c r="L35" s="12"/>
    </row>
    <row r="36" spans="7:12" x14ac:dyDescent="0.3">
      <c r="H36" s="12"/>
      <c r="I36" s="12"/>
      <c r="J36" s="12"/>
      <c r="K36" s="12"/>
      <c r="L36" s="12"/>
    </row>
    <row r="37" spans="7:12" x14ac:dyDescent="0.3">
      <c r="H37" s="12"/>
      <c r="I37" s="12"/>
      <c r="J37" s="12"/>
      <c r="K37" s="12"/>
      <c r="L37" s="12"/>
    </row>
    <row r="38" spans="7:12" x14ac:dyDescent="0.3">
      <c r="G38">
        <v>987330453</v>
      </c>
      <c r="H38" s="12"/>
      <c r="I38" s="12"/>
      <c r="J38" s="12"/>
      <c r="K38" s="12"/>
      <c r="L38" s="12"/>
    </row>
    <row r="39" spans="7:12" x14ac:dyDescent="0.3">
      <c r="H39" s="12"/>
      <c r="I39" s="12"/>
      <c r="J39" s="12"/>
      <c r="K39" s="12"/>
      <c r="L39" s="12"/>
    </row>
    <row r="40" spans="7:12" x14ac:dyDescent="0.3">
      <c r="H40" s="12"/>
      <c r="I40" s="12"/>
      <c r="J40" s="12"/>
      <c r="K40" s="12"/>
      <c r="L40" s="12"/>
    </row>
    <row r="41" spans="7:12" x14ac:dyDescent="0.3">
      <c r="H41" s="12"/>
      <c r="I41" s="12"/>
      <c r="J41" s="12"/>
      <c r="K41" s="12"/>
      <c r="L41" s="12"/>
    </row>
    <row r="42" spans="7:12" x14ac:dyDescent="0.3">
      <c r="H42" s="12"/>
      <c r="I42" s="12"/>
      <c r="J42" s="12"/>
      <c r="K42" s="12"/>
      <c r="L42" s="12"/>
    </row>
  </sheetData>
  <mergeCells count="45">
    <mergeCell ref="A32:D32"/>
    <mergeCell ref="E32:H32"/>
    <mergeCell ref="I32:L32"/>
    <mergeCell ref="H7:I7"/>
    <mergeCell ref="H8:I8"/>
    <mergeCell ref="C7:G7"/>
    <mergeCell ref="C8:G8"/>
    <mergeCell ref="K12:L12"/>
    <mergeCell ref="I16:J16"/>
    <mergeCell ref="E23:H23"/>
    <mergeCell ref="I23:L23"/>
    <mergeCell ref="A23:D23"/>
    <mergeCell ref="G16:H16"/>
    <mergeCell ref="A7:B7"/>
    <mergeCell ref="A8:B8"/>
    <mergeCell ref="C11:D11"/>
    <mergeCell ref="B19:C19"/>
    <mergeCell ref="D18:E18"/>
    <mergeCell ref="D19:E19"/>
    <mergeCell ref="H5:I5"/>
    <mergeCell ref="I13:J13"/>
    <mergeCell ref="A11:B11"/>
    <mergeCell ref="G12:G13"/>
    <mergeCell ref="I12:J12"/>
    <mergeCell ref="I11:L11"/>
    <mergeCell ref="J5:L5"/>
    <mergeCell ref="A5:B5"/>
    <mergeCell ref="G19:H19"/>
    <mergeCell ref="I17:J17"/>
    <mergeCell ref="I18:J18"/>
    <mergeCell ref="I19:J19"/>
    <mergeCell ref="G18:H18"/>
    <mergeCell ref="C2:L2"/>
    <mergeCell ref="B17:C17"/>
    <mergeCell ref="D17:E17"/>
    <mergeCell ref="B16:E16"/>
    <mergeCell ref="B18:C18"/>
    <mergeCell ref="K13:L13"/>
    <mergeCell ref="G17:H17"/>
    <mergeCell ref="E11:F11"/>
    <mergeCell ref="A12:B13"/>
    <mergeCell ref="C12:D13"/>
    <mergeCell ref="E12:F13"/>
    <mergeCell ref="E5:F5"/>
    <mergeCell ref="C5:D5"/>
  </mergeCells>
  <pageMargins left="0.31496062992125984" right="0" top="0.35433070866141736" bottom="0" header="0.31496062992125984" footer="0.31496062992125984"/>
  <pageSetup paperSize="9" scale="96"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Q32"/>
  <sheetViews>
    <sheetView showGridLines="0" topLeftCell="A8" zoomScale="89" zoomScaleNormal="89" zoomScalePageLayoutView="90" workbookViewId="0">
      <selection activeCell="B13" sqref="B13:F15"/>
    </sheetView>
  </sheetViews>
  <sheetFormatPr baseColWidth="10" defaultRowHeight="14.4" x14ac:dyDescent="0.3"/>
  <cols>
    <col min="1" max="1" width="1.33203125" customWidth="1"/>
    <col min="2" max="2" width="0.109375" customWidth="1"/>
    <col min="3" max="3" width="4.44140625" customWidth="1"/>
    <col min="4" max="4" width="12.44140625" customWidth="1"/>
    <col min="5" max="5" width="1.5546875" customWidth="1"/>
    <col min="6" max="6" width="9.6640625" customWidth="1"/>
    <col min="7" max="7" width="7.33203125" customWidth="1"/>
    <col min="8" max="8" width="8.44140625" customWidth="1"/>
    <col min="9" max="9" width="40" customWidth="1"/>
    <col min="10" max="10" width="11.88671875" style="2" customWidth="1"/>
    <col min="11" max="11" width="10.5546875" style="2" customWidth="1"/>
    <col min="12" max="12" width="11.33203125" style="2" customWidth="1"/>
    <col min="13" max="13" width="15.88671875" style="2" customWidth="1"/>
    <col min="14" max="14" width="17.33203125" style="2" customWidth="1"/>
    <col min="15" max="15" width="18.5546875" style="2" customWidth="1"/>
    <col min="16" max="16" width="16.33203125" style="24" customWidth="1"/>
    <col min="17" max="17" width="12.33203125" bestFit="1" customWidth="1"/>
  </cols>
  <sheetData>
    <row r="1" spans="2:16" ht="31.2" customHeight="1" x14ac:dyDescent="0.3">
      <c r="C1" s="152"/>
      <c r="D1" s="152"/>
      <c r="E1" s="152"/>
      <c r="F1" s="152"/>
      <c r="G1" s="152"/>
      <c r="J1" s="2">
        <f>6.48*250</f>
        <v>1620</v>
      </c>
    </row>
    <row r="2" spans="2:16" ht="11.25" customHeight="1" x14ac:dyDescent="0.3"/>
    <row r="3" spans="2:16" ht="24" customHeight="1" x14ac:dyDescent="0.3">
      <c r="C3" s="158" t="s">
        <v>51</v>
      </c>
      <c r="D3" s="158"/>
      <c r="E3" s="158"/>
      <c r="F3" s="158"/>
      <c r="G3" s="158"/>
      <c r="H3" s="158"/>
      <c r="I3" s="158"/>
      <c r="J3" s="158"/>
      <c r="K3" s="158"/>
      <c r="L3" s="158"/>
      <c r="M3" s="158"/>
      <c r="N3" s="158"/>
      <c r="O3" s="158"/>
    </row>
    <row r="4" spans="2:16" s="1" customFormat="1" x14ac:dyDescent="0.3">
      <c r="C4" s="153" t="s">
        <v>4</v>
      </c>
      <c r="D4" s="154"/>
      <c r="E4" s="155" t="s">
        <v>0</v>
      </c>
      <c r="F4" s="154"/>
      <c r="G4" s="154"/>
      <c r="H4" s="154"/>
      <c r="J4" s="2"/>
      <c r="K4" s="2"/>
      <c r="L4" s="2"/>
      <c r="M4" s="2"/>
      <c r="N4" s="2">
        <f>18900-3240</f>
        <v>15660</v>
      </c>
      <c r="O4" s="2"/>
      <c r="P4" s="2"/>
    </row>
    <row r="5" spans="2:16" s="1" customFormat="1" ht="12.75" customHeight="1" x14ac:dyDescent="0.3">
      <c r="C5" s="153" t="s">
        <v>21</v>
      </c>
      <c r="D5" s="154"/>
      <c r="E5" s="155" t="str">
        <f>+Caratula!C7</f>
        <v>ASOCIACION DE PRODUCTORES AGROPECUARIOS MICROCUENCA NORTE RIO NUÑOA</v>
      </c>
      <c r="F5" s="154"/>
      <c r="G5" s="154"/>
      <c r="H5" s="154"/>
      <c r="I5" s="154"/>
      <c r="J5" s="154"/>
      <c r="K5" s="154"/>
      <c r="L5" s="154"/>
      <c r="M5" s="2"/>
      <c r="N5" s="2">
        <f>30240-11664</f>
        <v>18576</v>
      </c>
      <c r="O5" s="2">
        <f>1296+11664</f>
        <v>12960</v>
      </c>
      <c r="P5" s="2"/>
    </row>
    <row r="6" spans="2:16" s="1" customFormat="1" ht="12.75" customHeight="1" x14ac:dyDescent="0.3">
      <c r="C6" s="153" t="s">
        <v>5</v>
      </c>
      <c r="D6" s="154"/>
      <c r="E6" s="156">
        <f>+Caratula!J7</f>
        <v>20448433316</v>
      </c>
      <c r="F6" s="157"/>
      <c r="G6" s="157"/>
      <c r="H6" s="157"/>
      <c r="J6" s="2"/>
      <c r="K6" s="2"/>
      <c r="L6" s="2"/>
      <c r="M6" s="2"/>
      <c r="N6" s="2">
        <f>1620+30240</f>
        <v>31860</v>
      </c>
      <c r="O6" s="2">
        <f>324+18576</f>
        <v>18900</v>
      </c>
      <c r="P6" s="2"/>
    </row>
    <row r="7" spans="2:16" s="1" customFormat="1" ht="22.5" customHeight="1" x14ac:dyDescent="0.3">
      <c r="C7" s="180" t="s">
        <v>6</v>
      </c>
      <c r="D7" s="180"/>
      <c r="E7" s="156" t="str">
        <f>+Caratula!C8</f>
        <v>MEJORAMIENTO DEL MANEJO PRUDUCTIVO DE LA ALPACA</v>
      </c>
      <c r="F7" s="156"/>
      <c r="G7" s="156"/>
      <c r="H7" s="156"/>
      <c r="I7" s="156"/>
      <c r="J7" s="156"/>
      <c r="K7" s="156"/>
      <c r="L7" s="156"/>
      <c r="M7" s="156"/>
      <c r="N7" s="156"/>
      <c r="O7" s="156"/>
      <c r="P7" s="2"/>
    </row>
    <row r="8" spans="2:16" ht="19.5" customHeight="1" x14ac:dyDescent="0.3">
      <c r="B8" s="160" t="s">
        <v>78</v>
      </c>
      <c r="C8" s="160"/>
      <c r="D8" s="160"/>
      <c r="E8" s="160"/>
      <c r="F8" s="160"/>
      <c r="G8" s="160" t="s">
        <v>12</v>
      </c>
      <c r="H8" s="160"/>
      <c r="I8" s="161"/>
      <c r="J8" s="164" t="s">
        <v>43</v>
      </c>
      <c r="K8" s="162"/>
      <c r="L8" s="162"/>
      <c r="M8" s="163"/>
      <c r="N8" s="164" t="s">
        <v>42</v>
      </c>
      <c r="O8" s="163"/>
    </row>
    <row r="9" spans="2:16" s="3" customFormat="1" ht="28.5" customHeight="1" x14ac:dyDescent="0.25">
      <c r="B9" s="162"/>
      <c r="C9" s="162"/>
      <c r="D9" s="162"/>
      <c r="E9" s="162"/>
      <c r="F9" s="162"/>
      <c r="G9" s="162"/>
      <c r="H9" s="162"/>
      <c r="I9" s="163"/>
      <c r="J9" s="6" t="s">
        <v>8</v>
      </c>
      <c r="K9" s="6" t="s">
        <v>13</v>
      </c>
      <c r="L9" s="6" t="s">
        <v>14</v>
      </c>
      <c r="M9" s="6" t="s">
        <v>41</v>
      </c>
      <c r="N9" s="20" t="s">
        <v>11</v>
      </c>
      <c r="O9" s="20" t="s">
        <v>10</v>
      </c>
      <c r="P9" s="20" t="s">
        <v>76</v>
      </c>
    </row>
    <row r="10" spans="2:16" ht="25.5" customHeight="1" x14ac:dyDescent="0.3">
      <c r="B10" s="7"/>
      <c r="C10" s="173" t="s">
        <v>15</v>
      </c>
      <c r="D10" s="174"/>
      <c r="E10" s="174"/>
      <c r="F10" s="174"/>
      <c r="G10" s="174"/>
      <c r="H10" s="174"/>
      <c r="I10" s="174"/>
      <c r="J10" s="174"/>
      <c r="K10" s="174"/>
      <c r="L10" s="175"/>
      <c r="M10" s="8">
        <f>+M12+M20+M24+M26</f>
        <v>512353</v>
      </c>
      <c r="N10" s="8">
        <f>+N12+N20+N24+N26</f>
        <v>102470.6</v>
      </c>
      <c r="O10" s="8">
        <f>+O12+O20+O24+O26</f>
        <v>409882.4</v>
      </c>
      <c r="P10" s="8"/>
    </row>
    <row r="11" spans="2:16" ht="25.5" customHeight="1" x14ac:dyDescent="0.3">
      <c r="B11" s="7"/>
      <c r="C11" s="176"/>
      <c r="D11" s="177"/>
      <c r="E11" s="177"/>
      <c r="F11" s="177"/>
      <c r="G11" s="177"/>
      <c r="H11" s="177"/>
      <c r="I11" s="177"/>
      <c r="J11" s="177"/>
      <c r="K11" s="177"/>
      <c r="L11" s="178"/>
      <c r="M11" s="8" t="s">
        <v>74</v>
      </c>
      <c r="N11" s="33">
        <f>+N10/M10</f>
        <v>0.2</v>
      </c>
      <c r="O11" s="33">
        <f>+O10/M10</f>
        <v>0.8</v>
      </c>
      <c r="P11" s="33"/>
    </row>
    <row r="12" spans="2:16" s="2" customFormat="1" ht="42.75" customHeight="1" x14ac:dyDescent="0.3">
      <c r="B12" s="9" t="s">
        <v>17</v>
      </c>
      <c r="C12" s="179" t="s">
        <v>120</v>
      </c>
      <c r="D12" s="179"/>
      <c r="E12" s="179"/>
      <c r="F12" s="179"/>
      <c r="G12" s="179"/>
      <c r="H12" s="179"/>
      <c r="I12" s="179"/>
      <c r="J12" s="159" t="s">
        <v>18</v>
      </c>
      <c r="K12" s="159"/>
      <c r="L12" s="159"/>
      <c r="M12" s="10">
        <f>SUM(M13:M19)</f>
        <v>350595</v>
      </c>
      <c r="N12" s="10">
        <f>SUM(N13:N19)</f>
        <v>70119</v>
      </c>
      <c r="O12" s="10">
        <f>SUM(O13:O19)</f>
        <v>280476</v>
      </c>
      <c r="P12" s="10"/>
    </row>
    <row r="13" spans="2:16" ht="60" customHeight="1" x14ac:dyDescent="0.3">
      <c r="B13" s="182" t="s">
        <v>124</v>
      </c>
      <c r="C13" s="168"/>
      <c r="D13" s="168"/>
      <c r="E13" s="168"/>
      <c r="F13" s="169"/>
      <c r="G13" s="185" t="s">
        <v>141</v>
      </c>
      <c r="H13" s="167"/>
      <c r="I13" s="167"/>
      <c r="J13" s="11" t="s">
        <v>106</v>
      </c>
      <c r="K13" s="11">
        <v>432</v>
      </c>
      <c r="L13" s="5">
        <v>430</v>
      </c>
      <c r="M13" s="5">
        <f>+K13*L13</f>
        <v>185760</v>
      </c>
      <c r="N13" s="5">
        <f>+M13*0.2</f>
        <v>37152</v>
      </c>
      <c r="O13" s="5">
        <f>+M13*0.8</f>
        <v>148608</v>
      </c>
      <c r="P13" s="5" t="s">
        <v>96</v>
      </c>
    </row>
    <row r="14" spans="2:16" ht="69" customHeight="1" x14ac:dyDescent="0.3">
      <c r="B14" s="182" t="s">
        <v>125</v>
      </c>
      <c r="C14" s="168"/>
      <c r="D14" s="168"/>
      <c r="E14" s="168"/>
      <c r="F14" s="169"/>
      <c r="G14" s="166" t="s">
        <v>142</v>
      </c>
      <c r="H14" s="167"/>
      <c r="I14" s="167"/>
      <c r="J14" s="11" t="s">
        <v>79</v>
      </c>
      <c r="K14" s="11">
        <v>4320</v>
      </c>
      <c r="L14" s="5">
        <v>24</v>
      </c>
      <c r="M14" s="5">
        <f t="shared" ref="M14:M28" si="0">+K14*L14</f>
        <v>103680</v>
      </c>
      <c r="N14" s="5">
        <f t="shared" ref="N14:N27" si="1">+M14*0.2</f>
        <v>20736</v>
      </c>
      <c r="O14" s="5">
        <f t="shared" ref="O14:O28" si="2">+M14*0.8</f>
        <v>82944</v>
      </c>
      <c r="P14" s="5" t="s">
        <v>96</v>
      </c>
    </row>
    <row r="15" spans="2:16" ht="54" customHeight="1" x14ac:dyDescent="0.3">
      <c r="B15" s="182" t="s">
        <v>126</v>
      </c>
      <c r="C15" s="168"/>
      <c r="D15" s="168"/>
      <c r="E15" s="168"/>
      <c r="F15" s="169"/>
      <c r="G15" s="166" t="s">
        <v>143</v>
      </c>
      <c r="H15" s="167"/>
      <c r="I15" s="167"/>
      <c r="J15" s="11" t="s">
        <v>79</v>
      </c>
      <c r="K15" s="11">
        <v>27</v>
      </c>
      <c r="L15" s="5">
        <v>100</v>
      </c>
      <c r="M15" s="5">
        <f t="shared" si="0"/>
        <v>2700</v>
      </c>
      <c r="N15" s="5">
        <f t="shared" si="1"/>
        <v>540</v>
      </c>
      <c r="O15" s="5">
        <f t="shared" si="2"/>
        <v>2160</v>
      </c>
      <c r="P15" s="5" t="s">
        <v>96</v>
      </c>
    </row>
    <row r="16" spans="2:16" ht="42" customHeight="1" x14ac:dyDescent="0.3">
      <c r="B16" s="111"/>
      <c r="C16" s="168" t="s">
        <v>127</v>
      </c>
      <c r="D16" s="168"/>
      <c r="E16" s="168"/>
      <c r="F16" s="169"/>
      <c r="G16" s="166" t="s">
        <v>144</v>
      </c>
      <c r="H16" s="167"/>
      <c r="I16" s="167"/>
      <c r="J16" s="11" t="s">
        <v>79</v>
      </c>
      <c r="K16" s="11">
        <v>2916</v>
      </c>
      <c r="L16" s="5">
        <v>5</v>
      </c>
      <c r="M16" s="5">
        <f t="shared" si="0"/>
        <v>14580</v>
      </c>
      <c r="N16" s="5">
        <f t="shared" si="1"/>
        <v>2916</v>
      </c>
      <c r="O16" s="5">
        <f t="shared" si="2"/>
        <v>11664</v>
      </c>
      <c r="P16" s="5" t="s">
        <v>96</v>
      </c>
    </row>
    <row r="17" spans="2:17" ht="63.75" customHeight="1" x14ac:dyDescent="0.3">
      <c r="B17" s="165" t="s">
        <v>128</v>
      </c>
      <c r="C17" s="165"/>
      <c r="D17" s="165"/>
      <c r="E17" s="165"/>
      <c r="F17" s="165"/>
      <c r="G17" s="166" t="s">
        <v>145</v>
      </c>
      <c r="H17" s="167"/>
      <c r="I17" s="167"/>
      <c r="J17" s="11" t="s">
        <v>129</v>
      </c>
      <c r="K17" s="11">
        <v>162</v>
      </c>
      <c r="L17" s="5">
        <v>10</v>
      </c>
      <c r="M17" s="5">
        <f t="shared" si="0"/>
        <v>1620</v>
      </c>
      <c r="N17" s="5">
        <f t="shared" si="1"/>
        <v>324</v>
      </c>
      <c r="O17" s="5">
        <f t="shared" si="2"/>
        <v>1296</v>
      </c>
      <c r="P17" s="5" t="s">
        <v>96</v>
      </c>
    </row>
    <row r="18" spans="2:17" ht="33" customHeight="1" x14ac:dyDescent="0.3">
      <c r="B18" s="165" t="s">
        <v>130</v>
      </c>
      <c r="C18" s="165"/>
      <c r="D18" s="165"/>
      <c r="E18" s="165"/>
      <c r="F18" s="165"/>
      <c r="G18" s="166" t="s">
        <v>146</v>
      </c>
      <c r="H18" s="167"/>
      <c r="I18" s="167"/>
      <c r="J18" s="11" t="s">
        <v>79</v>
      </c>
      <c r="K18" s="11">
        <v>108</v>
      </c>
      <c r="L18" s="5">
        <v>390</v>
      </c>
      <c r="M18" s="5">
        <f t="shared" si="0"/>
        <v>42120</v>
      </c>
      <c r="N18" s="5">
        <f t="shared" si="1"/>
        <v>8424</v>
      </c>
      <c r="O18" s="5">
        <f t="shared" si="2"/>
        <v>33696</v>
      </c>
      <c r="P18" s="5" t="s">
        <v>96</v>
      </c>
      <c r="Q18" s="123">
        <f>O18+O23</f>
        <v>89856</v>
      </c>
    </row>
    <row r="19" spans="2:17" ht="33" customHeight="1" x14ac:dyDescent="0.3">
      <c r="B19" s="165" t="s">
        <v>131</v>
      </c>
      <c r="C19" s="165"/>
      <c r="D19" s="165"/>
      <c r="E19" s="165"/>
      <c r="F19" s="165"/>
      <c r="G19" s="166" t="s">
        <v>147</v>
      </c>
      <c r="H19" s="167"/>
      <c r="I19" s="167"/>
      <c r="J19" s="11" t="s">
        <v>132</v>
      </c>
      <c r="K19" s="11">
        <v>13.5</v>
      </c>
      <c r="L19" s="5">
        <v>10</v>
      </c>
      <c r="M19" s="5">
        <f t="shared" si="0"/>
        <v>135</v>
      </c>
      <c r="N19" s="5">
        <f t="shared" si="1"/>
        <v>27</v>
      </c>
      <c r="O19" s="5">
        <f t="shared" si="2"/>
        <v>108</v>
      </c>
      <c r="P19" s="5" t="s">
        <v>96</v>
      </c>
    </row>
    <row r="20" spans="2:17" ht="30.75" customHeight="1" x14ac:dyDescent="0.3">
      <c r="B20" s="11"/>
      <c r="C20" s="179" t="s">
        <v>121</v>
      </c>
      <c r="D20" s="179"/>
      <c r="E20" s="179"/>
      <c r="F20" s="179"/>
      <c r="G20" s="179"/>
      <c r="H20" s="179"/>
      <c r="I20" s="179"/>
      <c r="J20" s="159" t="s">
        <v>19</v>
      </c>
      <c r="K20" s="159"/>
      <c r="L20" s="159"/>
      <c r="M20" s="10">
        <f>SUM(M21:M23)</f>
        <v>126900</v>
      </c>
      <c r="N20" s="10">
        <f>SUM(N21:N23)</f>
        <v>25380</v>
      </c>
      <c r="O20" s="10">
        <f>SUM(O21:O23)</f>
        <v>101520</v>
      </c>
      <c r="P20" s="10"/>
    </row>
    <row r="21" spans="2:17" ht="101.25" customHeight="1" x14ac:dyDescent="0.3">
      <c r="B21" s="11"/>
      <c r="C21" s="182" t="s">
        <v>133</v>
      </c>
      <c r="D21" s="168"/>
      <c r="E21" s="168"/>
      <c r="F21" s="169"/>
      <c r="G21" s="170" t="s">
        <v>148</v>
      </c>
      <c r="H21" s="171"/>
      <c r="I21" s="172"/>
      <c r="J21" s="11" t="s">
        <v>129</v>
      </c>
      <c r="K21" s="11">
        <v>1350</v>
      </c>
      <c r="L21" s="5">
        <v>40</v>
      </c>
      <c r="M21" s="5">
        <f t="shared" ref="M21:M23" si="3">+K21*L21</f>
        <v>54000</v>
      </c>
      <c r="N21" s="5">
        <f t="shared" ref="N21:N23" si="4">+M21*0.2</f>
        <v>10800</v>
      </c>
      <c r="O21" s="5">
        <f t="shared" ref="O21:O23" si="5">+M21*0.8</f>
        <v>43200</v>
      </c>
      <c r="P21" s="5" t="s">
        <v>110</v>
      </c>
    </row>
    <row r="22" spans="2:17" ht="59.25" customHeight="1" x14ac:dyDescent="0.3">
      <c r="B22" s="11"/>
      <c r="C22" s="182" t="s">
        <v>134</v>
      </c>
      <c r="D22" s="168"/>
      <c r="E22" s="168"/>
      <c r="F22" s="169"/>
      <c r="G22" s="170" t="s">
        <v>149</v>
      </c>
      <c r="H22" s="171"/>
      <c r="I22" s="172"/>
      <c r="J22" s="11" t="s">
        <v>129</v>
      </c>
      <c r="K22" s="11">
        <v>108</v>
      </c>
      <c r="L22" s="5">
        <v>25</v>
      </c>
      <c r="M22" s="5">
        <f t="shared" si="3"/>
        <v>2700</v>
      </c>
      <c r="N22" s="5">
        <f t="shared" si="4"/>
        <v>540</v>
      </c>
      <c r="O22" s="5">
        <f t="shared" si="5"/>
        <v>2160</v>
      </c>
      <c r="P22" s="5" t="str">
        <f>$P$21</f>
        <v>IIPC</v>
      </c>
    </row>
    <row r="23" spans="2:17" ht="48.75" customHeight="1" x14ac:dyDescent="0.3">
      <c r="B23" s="11"/>
      <c r="C23" s="182" t="s">
        <v>135</v>
      </c>
      <c r="D23" s="168"/>
      <c r="E23" s="168"/>
      <c r="F23" s="169"/>
      <c r="G23" s="170" t="s">
        <v>150</v>
      </c>
      <c r="H23" s="171"/>
      <c r="I23" s="172"/>
      <c r="J23" s="11" t="s">
        <v>136</v>
      </c>
      <c r="K23" s="11">
        <v>1080</v>
      </c>
      <c r="L23" s="5">
        <v>65</v>
      </c>
      <c r="M23" s="5">
        <f t="shared" si="3"/>
        <v>70200</v>
      </c>
      <c r="N23" s="5">
        <f t="shared" si="4"/>
        <v>14040</v>
      </c>
      <c r="O23" s="5">
        <f t="shared" si="5"/>
        <v>56160</v>
      </c>
      <c r="P23" s="5" t="s">
        <v>110</v>
      </c>
      <c r="Q23" s="123"/>
    </row>
    <row r="24" spans="2:17" s="1" customFormat="1" ht="38.25" customHeight="1" x14ac:dyDescent="0.3">
      <c r="B24" s="11"/>
      <c r="C24" s="179" t="s">
        <v>122</v>
      </c>
      <c r="D24" s="179"/>
      <c r="E24" s="179"/>
      <c r="F24" s="179"/>
      <c r="G24" s="179"/>
      <c r="H24" s="179"/>
      <c r="I24" s="179"/>
      <c r="J24" s="159" t="s">
        <v>20</v>
      </c>
      <c r="K24" s="159"/>
      <c r="L24" s="159"/>
      <c r="M24" s="10">
        <f>SUM(M25:M25)</f>
        <v>6858</v>
      </c>
      <c r="N24" s="10">
        <f>SUM(N25:N25)</f>
        <v>1371.6000000000001</v>
      </c>
      <c r="O24" s="10">
        <f>SUM(O25:O25)</f>
        <v>5486.4000000000005</v>
      </c>
      <c r="P24" s="10"/>
    </row>
    <row r="25" spans="2:17" ht="66.75" customHeight="1" x14ac:dyDescent="0.3">
      <c r="B25" s="165" t="s">
        <v>137</v>
      </c>
      <c r="C25" s="165"/>
      <c r="D25" s="165"/>
      <c r="E25" s="165"/>
      <c r="F25" s="165"/>
      <c r="G25" s="166" t="s">
        <v>151</v>
      </c>
      <c r="H25" s="167"/>
      <c r="I25" s="167"/>
      <c r="J25" s="11" t="s">
        <v>138</v>
      </c>
      <c r="K25" s="11">
        <v>27</v>
      </c>
      <c r="L25" s="5">
        <v>254</v>
      </c>
      <c r="M25" s="5">
        <f t="shared" si="0"/>
        <v>6858</v>
      </c>
      <c r="N25" s="5">
        <f t="shared" si="1"/>
        <v>1371.6000000000001</v>
      </c>
      <c r="O25" s="5">
        <f t="shared" si="2"/>
        <v>5486.4000000000005</v>
      </c>
      <c r="P25" s="5" t="s">
        <v>139</v>
      </c>
    </row>
    <row r="26" spans="2:17" s="1" customFormat="1" ht="15" customHeight="1" x14ac:dyDescent="0.3">
      <c r="B26" s="11"/>
      <c r="C26" s="183" t="s">
        <v>154</v>
      </c>
      <c r="D26" s="183"/>
      <c r="E26" s="183"/>
      <c r="F26" s="183"/>
      <c r="G26" s="183"/>
      <c r="H26" s="183"/>
      <c r="I26" s="183"/>
      <c r="J26" s="184" t="s">
        <v>111</v>
      </c>
      <c r="K26" s="184"/>
      <c r="L26" s="184"/>
      <c r="M26" s="10">
        <f>SUM(M27:M28)</f>
        <v>28000</v>
      </c>
      <c r="N26" s="10">
        <f>M26*0.2</f>
        <v>5600</v>
      </c>
      <c r="O26" s="10">
        <f>M26*0.8</f>
        <v>22400</v>
      </c>
      <c r="P26" s="10"/>
    </row>
    <row r="27" spans="2:17" ht="247.5" customHeight="1" x14ac:dyDescent="0.3">
      <c r="B27" s="165" t="s">
        <v>103</v>
      </c>
      <c r="C27" s="165"/>
      <c r="D27" s="165"/>
      <c r="E27" s="165"/>
      <c r="F27" s="165"/>
      <c r="G27" s="166" t="s">
        <v>152</v>
      </c>
      <c r="H27" s="167"/>
      <c r="I27" s="167"/>
      <c r="J27" s="11" t="s">
        <v>92</v>
      </c>
      <c r="K27" s="11">
        <v>9</v>
      </c>
      <c r="L27" s="5">
        <v>2000</v>
      </c>
      <c r="M27" s="5">
        <f t="shared" si="0"/>
        <v>18000</v>
      </c>
      <c r="N27" s="5">
        <f t="shared" si="1"/>
        <v>3600</v>
      </c>
      <c r="O27" s="5">
        <f t="shared" si="2"/>
        <v>14400</v>
      </c>
      <c r="P27" s="5" t="s">
        <v>104</v>
      </c>
    </row>
    <row r="28" spans="2:17" ht="212.25" customHeight="1" x14ac:dyDescent="0.3">
      <c r="B28" s="165" t="s">
        <v>140</v>
      </c>
      <c r="C28" s="165"/>
      <c r="D28" s="165"/>
      <c r="E28" s="165"/>
      <c r="F28" s="165"/>
      <c r="G28" s="166" t="s">
        <v>153</v>
      </c>
      <c r="H28" s="167"/>
      <c r="I28" s="167"/>
      <c r="J28" s="11" t="s">
        <v>107</v>
      </c>
      <c r="K28" s="11">
        <v>1</v>
      </c>
      <c r="L28" s="5">
        <v>10000</v>
      </c>
      <c r="M28" s="5">
        <f t="shared" si="0"/>
        <v>10000</v>
      </c>
      <c r="N28" s="5">
        <f t="shared" ref="N28" si="6">+M28*0.2</f>
        <v>2000</v>
      </c>
      <c r="O28" s="5">
        <f t="shared" si="2"/>
        <v>8000</v>
      </c>
      <c r="P28" s="5" t="s">
        <v>96</v>
      </c>
      <c r="Q28" t="s">
        <v>83</v>
      </c>
    </row>
    <row r="29" spans="2:17" ht="9.75" customHeight="1" x14ac:dyDescent="0.3"/>
    <row r="30" spans="2:17" ht="13.5" customHeight="1" x14ac:dyDescent="0.3">
      <c r="C30" s="181" t="s">
        <v>123</v>
      </c>
      <c r="D30" s="181"/>
      <c r="E30" s="181"/>
      <c r="F30" s="181"/>
      <c r="G30" s="181"/>
      <c r="H30" s="181"/>
      <c r="O30" s="2" t="s">
        <v>83</v>
      </c>
    </row>
    <row r="32" spans="2:17" ht="0" hidden="1" customHeight="1" x14ac:dyDescent="0.3"/>
  </sheetData>
  <mergeCells count="50">
    <mergeCell ref="J26:L26"/>
    <mergeCell ref="C12:I12"/>
    <mergeCell ref="B13:F13"/>
    <mergeCell ref="G13:I13"/>
    <mergeCell ref="B14:F14"/>
    <mergeCell ref="B15:F15"/>
    <mergeCell ref="G15:I15"/>
    <mergeCell ref="C23:F23"/>
    <mergeCell ref="G21:I21"/>
    <mergeCell ref="G17:I17"/>
    <mergeCell ref="C22:F22"/>
    <mergeCell ref="G22:I22"/>
    <mergeCell ref="C30:H30"/>
    <mergeCell ref="C24:I24"/>
    <mergeCell ref="B19:F19"/>
    <mergeCell ref="G19:I19"/>
    <mergeCell ref="B8:F9"/>
    <mergeCell ref="C21:F21"/>
    <mergeCell ref="B17:F17"/>
    <mergeCell ref="B25:F25"/>
    <mergeCell ref="B28:F28"/>
    <mergeCell ref="G28:I28"/>
    <mergeCell ref="G25:I25"/>
    <mergeCell ref="B27:F27"/>
    <mergeCell ref="G27:I27"/>
    <mergeCell ref="C26:I26"/>
    <mergeCell ref="E7:O7"/>
    <mergeCell ref="J24:L24"/>
    <mergeCell ref="G8:I9"/>
    <mergeCell ref="N8:O8"/>
    <mergeCell ref="B18:F18"/>
    <mergeCell ref="G18:I18"/>
    <mergeCell ref="G16:I16"/>
    <mergeCell ref="C16:F16"/>
    <mergeCell ref="J20:L20"/>
    <mergeCell ref="G23:I23"/>
    <mergeCell ref="J8:M8"/>
    <mergeCell ref="J12:L12"/>
    <mergeCell ref="C10:L11"/>
    <mergeCell ref="C20:I20"/>
    <mergeCell ref="C7:D7"/>
    <mergeCell ref="G14:I14"/>
    <mergeCell ref="C1:G1"/>
    <mergeCell ref="C4:D4"/>
    <mergeCell ref="E4:H4"/>
    <mergeCell ref="C6:D6"/>
    <mergeCell ref="E6:H6"/>
    <mergeCell ref="C3:O3"/>
    <mergeCell ref="C5:D5"/>
    <mergeCell ref="E5:L5"/>
  </mergeCells>
  <pageMargins left="0.196850393700787" right="0.196850393700787" top="0.196850393700787" bottom="0.196850393700787" header="0.196850393700787" footer="0.196850393700787"/>
  <pageSetup paperSize="9" scale="77" fitToHeight="2"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T32"/>
  <sheetViews>
    <sheetView showGridLines="0" topLeftCell="A11" zoomScale="90" zoomScaleNormal="90" workbookViewId="0">
      <selection activeCell="E13" sqref="E13"/>
    </sheetView>
  </sheetViews>
  <sheetFormatPr baseColWidth="10" defaultColWidth="11.44140625" defaultRowHeight="14.4" x14ac:dyDescent="0.3"/>
  <cols>
    <col min="1" max="1" width="1.88671875" customWidth="1"/>
    <col min="2" max="2" width="3.5546875" style="2" customWidth="1"/>
    <col min="3" max="3" width="12.109375" customWidth="1"/>
    <col min="4" max="4" width="10.5546875" customWidth="1"/>
    <col min="5" max="5" width="30.6640625" customWidth="1"/>
    <col min="6" max="6" width="23.109375" bestFit="1" customWidth="1"/>
    <col min="7" max="7" width="12.33203125" customWidth="1"/>
    <col min="8" max="8" width="13.5546875" style="24" customWidth="1"/>
    <col min="9" max="9" width="7.88671875" bestFit="1" customWidth="1"/>
    <col min="10" max="10" width="13.88671875" customWidth="1"/>
    <col min="11" max="11" width="9.109375" customWidth="1"/>
    <col min="12" max="12" width="8.109375" bestFit="1" customWidth="1"/>
    <col min="13" max="13" width="7.5546875" bestFit="1" customWidth="1"/>
    <col min="14" max="14" width="7.44140625" bestFit="1" customWidth="1"/>
    <col min="15" max="15" width="9.88671875" style="1" customWidth="1"/>
    <col min="16" max="16" width="7.6640625" style="1" bestFit="1" customWidth="1"/>
    <col min="17" max="17" width="9.33203125" style="1" customWidth="1"/>
    <col min="18" max="18" width="8.109375" style="1" customWidth="1"/>
    <col min="19" max="19" width="7.44140625" style="1" bestFit="1" customWidth="1"/>
    <col min="20" max="20" width="8.5546875" customWidth="1"/>
  </cols>
  <sheetData>
    <row r="1" spans="2:20" ht="3" customHeight="1" x14ac:dyDescent="0.3"/>
    <row r="2" spans="2:20" ht="0.9" customHeight="1" x14ac:dyDescent="0.3"/>
    <row r="3" spans="2:20" ht="31.2" customHeight="1" x14ac:dyDescent="0.3">
      <c r="B3" s="152"/>
      <c r="C3" s="152"/>
      <c r="D3" s="152"/>
    </row>
    <row r="4" spans="2:20" ht="2.4" customHeight="1" x14ac:dyDescent="0.3"/>
    <row r="5" spans="2:20" ht="27" customHeight="1" x14ac:dyDescent="0.3">
      <c r="B5" s="187" t="s">
        <v>97</v>
      </c>
      <c r="C5" s="187"/>
      <c r="D5" s="187"/>
      <c r="E5" s="187"/>
      <c r="F5" s="187"/>
      <c r="G5" s="187"/>
      <c r="H5" s="187"/>
      <c r="I5" s="187"/>
      <c r="J5" s="187"/>
      <c r="K5" s="187"/>
      <c r="L5" s="187"/>
      <c r="M5" s="187"/>
      <c r="N5" s="187"/>
      <c r="O5" s="187"/>
      <c r="P5" s="187"/>
      <c r="Q5" s="187"/>
      <c r="R5" s="187"/>
      <c r="S5" s="187"/>
      <c r="T5" s="187"/>
    </row>
    <row r="6" spans="2:20" ht="12.75" customHeight="1" x14ac:dyDescent="0.3">
      <c r="B6" s="186" t="s">
        <v>4</v>
      </c>
      <c r="C6" s="152"/>
      <c r="D6" s="188" t="s">
        <v>0</v>
      </c>
      <c r="E6" s="188"/>
      <c r="F6" s="22"/>
      <c r="G6" s="22"/>
      <c r="H6" s="25"/>
      <c r="I6" s="22"/>
      <c r="J6" s="22"/>
      <c r="N6" s="2"/>
    </row>
    <row r="7" spans="2:20" ht="12.75" customHeight="1" x14ac:dyDescent="0.3">
      <c r="B7" s="186" t="s">
        <v>21</v>
      </c>
      <c r="C7" s="152"/>
      <c r="D7" s="188" t="str">
        <f>+Caratula!C7</f>
        <v>ASOCIACION DE PRODUCTORES AGROPECUARIOS MICROCUENCA NORTE RIO NUÑOA</v>
      </c>
      <c r="E7" s="188"/>
      <c r="F7" s="188"/>
      <c r="G7" s="188"/>
      <c r="H7" s="188"/>
      <c r="I7" s="188"/>
      <c r="J7" s="188"/>
      <c r="K7" s="188"/>
      <c r="L7" s="188"/>
      <c r="M7" s="40"/>
      <c r="N7" s="40"/>
    </row>
    <row r="8" spans="2:20" ht="12.75" customHeight="1" x14ac:dyDescent="0.3">
      <c r="B8" s="186" t="s">
        <v>5</v>
      </c>
      <c r="C8" s="152"/>
      <c r="D8" s="188">
        <f>+Caratula!J7</f>
        <v>20448433316</v>
      </c>
      <c r="E8" s="188"/>
      <c r="F8" s="22"/>
      <c r="G8" s="22"/>
      <c r="H8" s="25"/>
      <c r="I8" s="22"/>
      <c r="J8" s="22"/>
      <c r="N8" s="2"/>
    </row>
    <row r="9" spans="2:20" ht="12.75" customHeight="1" x14ac:dyDescent="0.3">
      <c r="B9" s="189" t="s">
        <v>6</v>
      </c>
      <c r="C9" s="189"/>
      <c r="D9" s="155" t="str">
        <f>+Caratula!C8</f>
        <v>MEJORAMIENTO DEL MANEJO PRUDUCTIVO DE LA ALPACA</v>
      </c>
      <c r="E9" s="154"/>
      <c r="F9" s="154"/>
      <c r="G9" s="154"/>
      <c r="H9" s="154"/>
      <c r="I9" s="154"/>
      <c r="J9" s="154"/>
      <c r="K9" s="154"/>
      <c r="L9" s="154"/>
      <c r="M9" s="14"/>
      <c r="N9" s="14"/>
    </row>
    <row r="10" spans="2:20" ht="9.15" customHeight="1" thickBot="1" x14ac:dyDescent="0.35">
      <c r="I10" s="22"/>
      <c r="J10" s="22"/>
    </row>
    <row r="11" spans="2:20" s="1" customFormat="1" ht="15.75" customHeight="1" thickBot="1" x14ac:dyDescent="0.35">
      <c r="B11" s="190" t="s">
        <v>7</v>
      </c>
      <c r="C11" s="192" t="s">
        <v>80</v>
      </c>
      <c r="D11" s="193"/>
      <c r="E11" s="196" t="s">
        <v>40</v>
      </c>
      <c r="F11" s="196" t="s">
        <v>56</v>
      </c>
      <c r="G11" s="196" t="s">
        <v>57</v>
      </c>
      <c r="H11" s="196" t="s">
        <v>60</v>
      </c>
      <c r="I11" s="198" t="s">
        <v>65</v>
      </c>
      <c r="J11" s="199"/>
      <c r="K11" s="199"/>
      <c r="L11" s="199"/>
      <c r="M11" s="199"/>
      <c r="N11" s="200"/>
      <c r="O11" s="198" t="s">
        <v>66</v>
      </c>
      <c r="P11" s="199"/>
      <c r="Q11" s="199"/>
      <c r="R11" s="199"/>
      <c r="S11" s="199"/>
      <c r="T11" s="200"/>
    </row>
    <row r="12" spans="2:20" s="1" customFormat="1" ht="15" thickBot="1" x14ac:dyDescent="0.35">
      <c r="B12" s="191"/>
      <c r="C12" s="194"/>
      <c r="D12" s="195"/>
      <c r="E12" s="197"/>
      <c r="F12" s="197"/>
      <c r="G12" s="197"/>
      <c r="H12" s="197"/>
      <c r="I12" s="107">
        <v>45749</v>
      </c>
      <c r="J12" s="107">
        <v>45779</v>
      </c>
      <c r="K12" s="107">
        <v>45810</v>
      </c>
      <c r="L12" s="107">
        <v>45840</v>
      </c>
      <c r="M12" s="107">
        <v>45871</v>
      </c>
      <c r="N12" s="107">
        <v>45902</v>
      </c>
      <c r="O12" s="107">
        <v>45932</v>
      </c>
      <c r="P12" s="107">
        <v>45963</v>
      </c>
      <c r="Q12" s="107">
        <v>45993</v>
      </c>
      <c r="R12" s="107">
        <v>46024</v>
      </c>
      <c r="S12" s="107">
        <v>46055</v>
      </c>
      <c r="T12" s="107">
        <v>46083</v>
      </c>
    </row>
    <row r="13" spans="2:20" ht="28.5" customHeight="1" thickBot="1" x14ac:dyDescent="0.35">
      <c r="B13" s="206">
        <v>1</v>
      </c>
      <c r="C13" s="202" t="str">
        <f>'Formato 01'!C12:I12</f>
        <v>1.1. Aplicar Técnicas de manejo adecuado de los rebaños de alpacas que permita incrementar gradualmente la ganacia de peso diario de 0.08 kg/día a 0.15 kg/día/ alpaca al 5to año</v>
      </c>
      <c r="D13" s="203"/>
      <c r="E13" s="43" t="str">
        <f>'Formato 01'!B13</f>
        <v>Mallas ganaderas de 9  hilos por 100 metros</v>
      </c>
      <c r="F13" s="35" t="s">
        <v>81</v>
      </c>
      <c r="G13" s="44" t="str">
        <f>+'Formato 01'!J13</f>
        <v>Rollos</v>
      </c>
      <c r="H13" s="35">
        <f>+'Formato 01'!K13</f>
        <v>432</v>
      </c>
      <c r="I13" s="36"/>
      <c r="J13" s="37">
        <f>H13</f>
        <v>432</v>
      </c>
      <c r="K13" s="37"/>
      <c r="L13" s="37"/>
      <c r="M13" s="37"/>
      <c r="N13" s="38"/>
      <c r="O13" s="41"/>
      <c r="P13" s="37"/>
      <c r="Q13" s="37"/>
      <c r="R13" s="37"/>
      <c r="S13" s="37"/>
      <c r="T13" s="38"/>
    </row>
    <row r="14" spans="2:20" ht="52.5" customHeight="1" thickBot="1" x14ac:dyDescent="0.35">
      <c r="B14" s="210"/>
      <c r="C14" s="208"/>
      <c r="D14" s="209"/>
      <c r="E14" s="43" t="str">
        <f>'Formato 01'!B14</f>
        <v>Postes Metálicos de 1.98m x 1.15"con ancla tipo flecha de acero, acabado y pintado</v>
      </c>
      <c r="F14" s="35" t="s">
        <v>81</v>
      </c>
      <c r="G14" s="44" t="str">
        <f>+'Formato 01'!J14</f>
        <v>Unidad</v>
      </c>
      <c r="H14" s="35">
        <f>+'Formato 01'!K14</f>
        <v>4320</v>
      </c>
      <c r="I14" s="31"/>
      <c r="J14" s="39">
        <f t="shared" ref="J14:J19" si="0">H14</f>
        <v>4320</v>
      </c>
      <c r="K14" s="39"/>
      <c r="L14" s="39"/>
      <c r="M14" s="39"/>
      <c r="N14" s="42"/>
      <c r="O14" s="83"/>
      <c r="P14" s="39"/>
      <c r="Q14" s="39"/>
      <c r="R14" s="39"/>
      <c r="S14" s="39"/>
      <c r="T14" s="42"/>
    </row>
    <row r="15" spans="2:20" ht="28.5" customHeight="1" thickBot="1" x14ac:dyDescent="0.35">
      <c r="B15" s="210"/>
      <c r="C15" s="208"/>
      <c r="D15" s="209"/>
      <c r="E15" s="43" t="str">
        <f>'Formato 01'!B15</f>
        <v>Tecle 2T</v>
      </c>
      <c r="F15" s="35" t="s">
        <v>81</v>
      </c>
      <c r="G15" s="44" t="str">
        <f>+'Formato 01'!J15</f>
        <v>Unidad</v>
      </c>
      <c r="H15" s="35">
        <f>+'Formato 01'!K15</f>
        <v>27</v>
      </c>
      <c r="I15" s="31"/>
      <c r="J15" s="39">
        <f t="shared" si="0"/>
        <v>27</v>
      </c>
      <c r="K15" s="39"/>
      <c r="L15" s="39"/>
      <c r="M15" s="39"/>
      <c r="N15" s="42"/>
      <c r="O15" s="83"/>
      <c r="P15" s="39"/>
      <c r="Q15" s="39"/>
      <c r="R15" s="39"/>
      <c r="S15" s="39"/>
      <c r="T15" s="42"/>
    </row>
    <row r="16" spans="2:20" ht="28.5" customHeight="1" thickBot="1" x14ac:dyDescent="0.35">
      <c r="B16" s="210"/>
      <c r="C16" s="208"/>
      <c r="D16" s="209"/>
      <c r="E16" s="43" t="s">
        <v>127</v>
      </c>
      <c r="F16" s="35" t="s">
        <v>81</v>
      </c>
      <c r="G16" s="44" t="str">
        <f>+'Formato 01'!J16</f>
        <v>Unidad</v>
      </c>
      <c r="H16" s="35">
        <v>90</v>
      </c>
      <c r="I16" s="31"/>
      <c r="J16" s="39">
        <f t="shared" si="0"/>
        <v>90</v>
      </c>
      <c r="K16" s="39"/>
      <c r="L16" s="39"/>
      <c r="M16" s="39"/>
      <c r="N16" s="42"/>
      <c r="O16" s="83"/>
      <c r="P16" s="39"/>
      <c r="Q16" s="39">
        <v>90</v>
      </c>
      <c r="R16" s="39"/>
      <c r="S16" s="39"/>
      <c r="T16" s="42"/>
    </row>
    <row r="17" spans="2:20" ht="28.5" customHeight="1" thickBot="1" x14ac:dyDescent="0.35">
      <c r="B17" s="210"/>
      <c r="C17" s="208"/>
      <c r="D17" s="209"/>
      <c r="E17" s="43" t="str">
        <f>'Formato 01'!B17</f>
        <v>Grapha Galvanizada 1"</v>
      </c>
      <c r="F17" s="82" t="s">
        <v>81</v>
      </c>
      <c r="G17" s="44" t="str">
        <f>+'Formato 01'!J17</f>
        <v>Kg</v>
      </c>
      <c r="H17" s="35">
        <f>+'Formato 01'!K17</f>
        <v>162</v>
      </c>
      <c r="I17" s="31"/>
      <c r="J17" s="39">
        <f t="shared" si="0"/>
        <v>162</v>
      </c>
      <c r="K17" s="39"/>
      <c r="L17" s="39"/>
      <c r="M17" s="39"/>
      <c r="N17" s="42"/>
      <c r="O17" s="83"/>
      <c r="P17" s="39"/>
      <c r="Q17" s="39"/>
      <c r="R17" s="39"/>
      <c r="S17" s="39"/>
      <c r="T17" s="42"/>
    </row>
    <row r="18" spans="2:20" ht="28.5" customHeight="1" thickBot="1" x14ac:dyDescent="0.35">
      <c r="B18" s="115"/>
      <c r="C18" s="78"/>
      <c r="D18" s="114"/>
      <c r="E18" s="43" t="s">
        <v>130</v>
      </c>
      <c r="F18" s="82" t="s">
        <v>81</v>
      </c>
      <c r="G18" s="44" t="str">
        <f>+'Formato 01'!J18</f>
        <v>Unidad</v>
      </c>
      <c r="H18" s="35">
        <f>+'Formato 01'!K18</f>
        <v>108</v>
      </c>
      <c r="I18" s="31"/>
      <c r="J18" s="39">
        <f t="shared" si="0"/>
        <v>108</v>
      </c>
      <c r="K18" s="39"/>
      <c r="L18" s="39"/>
      <c r="M18" s="39"/>
      <c r="N18" s="42"/>
      <c r="O18" s="83"/>
      <c r="P18" s="39"/>
      <c r="Q18" s="39"/>
      <c r="R18" s="39"/>
      <c r="S18" s="39"/>
      <c r="T18" s="42"/>
    </row>
    <row r="19" spans="2:20" ht="28.5" customHeight="1" thickBot="1" x14ac:dyDescent="0.35">
      <c r="B19" s="115"/>
      <c r="C19" s="78"/>
      <c r="D19" s="114"/>
      <c r="E19" s="43" t="s">
        <v>131</v>
      </c>
      <c r="F19" s="82" t="s">
        <v>81</v>
      </c>
      <c r="G19" s="44" t="s">
        <v>132</v>
      </c>
      <c r="H19" s="35">
        <f>+'Formato 01'!K19</f>
        <v>13.5</v>
      </c>
      <c r="I19" s="31"/>
      <c r="J19" s="39">
        <f t="shared" si="0"/>
        <v>13.5</v>
      </c>
      <c r="K19" s="39"/>
      <c r="L19" s="39"/>
      <c r="M19" s="39"/>
      <c r="N19" s="42"/>
      <c r="O19" s="83"/>
      <c r="P19" s="39"/>
      <c r="Q19" s="39"/>
      <c r="R19" s="39"/>
      <c r="S19" s="39"/>
      <c r="T19" s="42"/>
    </row>
    <row r="20" spans="2:20" ht="30" customHeight="1" thickBot="1" x14ac:dyDescent="0.35">
      <c r="B20" s="206">
        <v>2</v>
      </c>
      <c r="C20" s="202" t="str">
        <f>'Formato 01'!C20:I20</f>
        <v>1.2. Ampliar la oferta forrajera con la instalación de 54 ha de alfalfa y dactilys en la asociación al 2do año</v>
      </c>
      <c r="D20" s="203"/>
      <c r="E20" s="43" t="s">
        <v>133</v>
      </c>
      <c r="F20" s="82" t="s">
        <v>81</v>
      </c>
      <c r="G20" s="44" t="s">
        <v>129</v>
      </c>
      <c r="H20" s="35">
        <f>'Formato 01'!K21</f>
        <v>1350</v>
      </c>
      <c r="I20" s="31"/>
      <c r="J20" s="39"/>
      <c r="K20" s="39"/>
      <c r="L20" s="39"/>
      <c r="M20" s="39"/>
      <c r="N20" s="42">
        <f>H20</f>
        <v>1350</v>
      </c>
      <c r="O20" s="83"/>
      <c r="P20" s="39"/>
      <c r="Q20" s="39"/>
      <c r="R20" s="39"/>
      <c r="S20" s="39"/>
      <c r="T20" s="42"/>
    </row>
    <row r="21" spans="2:20" ht="30" customHeight="1" thickBot="1" x14ac:dyDescent="0.35">
      <c r="B21" s="210"/>
      <c r="C21" s="208"/>
      <c r="D21" s="209"/>
      <c r="E21" s="34" t="s">
        <v>134</v>
      </c>
      <c r="F21" s="82" t="s">
        <v>81</v>
      </c>
      <c r="G21" s="44" t="s">
        <v>129</v>
      </c>
      <c r="H21" s="82">
        <f>'Formato 01'!K22</f>
        <v>108</v>
      </c>
      <c r="I21" s="31"/>
      <c r="J21" s="39"/>
      <c r="K21" s="39"/>
      <c r="L21" s="39"/>
      <c r="M21" s="39"/>
      <c r="N21" s="42">
        <f>H21</f>
        <v>108</v>
      </c>
      <c r="O21" s="83"/>
      <c r="P21" s="39"/>
      <c r="Q21" s="39"/>
      <c r="R21" s="39"/>
      <c r="S21" s="39"/>
      <c r="T21" s="42"/>
    </row>
    <row r="22" spans="2:20" ht="30" customHeight="1" thickBot="1" x14ac:dyDescent="0.35">
      <c r="B22" s="210"/>
      <c r="C22" s="208"/>
      <c r="D22" s="209"/>
      <c r="E22" s="34" t="s">
        <v>135</v>
      </c>
      <c r="F22" s="82" t="s">
        <v>81</v>
      </c>
      <c r="G22" s="44" t="s">
        <v>136</v>
      </c>
      <c r="H22" s="82">
        <f>'Formato 01'!K23</f>
        <v>1080</v>
      </c>
      <c r="I22" s="31"/>
      <c r="J22" s="39"/>
      <c r="K22" s="39"/>
      <c r="L22" s="39"/>
      <c r="M22" s="39"/>
      <c r="N22" s="42">
        <f>H22</f>
        <v>1080</v>
      </c>
      <c r="O22" s="83"/>
      <c r="P22" s="39"/>
      <c r="Q22" s="39"/>
      <c r="R22" s="39"/>
      <c r="S22" s="39"/>
      <c r="T22" s="42"/>
    </row>
    <row r="23" spans="2:20" ht="35.25" customHeight="1" thickBot="1" x14ac:dyDescent="0.35">
      <c r="B23" s="113">
        <v>3</v>
      </c>
      <c r="C23" s="202" t="str">
        <f>'Formato 01'!C24:I24</f>
        <v>1.3.Reducir el porcentaje de mortalidad de 4% a 2% al 2do año</v>
      </c>
      <c r="D23" s="203"/>
      <c r="E23" s="34" t="str">
        <f>'Formato 01'!B25</f>
        <v>Kit Veterinario</v>
      </c>
      <c r="F23" s="35" t="s">
        <v>81</v>
      </c>
      <c r="G23" s="72" t="str">
        <f>+'Formato 01'!J25</f>
        <v>Global</v>
      </c>
      <c r="H23" s="72">
        <f>+'Formato 01'!K25</f>
        <v>27</v>
      </c>
      <c r="I23" s="36"/>
      <c r="K23" s="37"/>
      <c r="L23" s="37"/>
      <c r="M23" s="37"/>
      <c r="N23" s="37">
        <f>H23</f>
        <v>27</v>
      </c>
      <c r="O23" s="36"/>
      <c r="P23" s="37"/>
      <c r="Q23" s="37"/>
      <c r="R23" s="37"/>
      <c r="S23" s="37"/>
      <c r="T23" s="38"/>
    </row>
    <row r="24" spans="2:20" ht="27" customHeight="1" thickBot="1" x14ac:dyDescent="0.35">
      <c r="B24" s="206">
        <v>4</v>
      </c>
      <c r="C24" s="202" t="str">
        <f>'Formato 01'!C26:I26</f>
        <v>1.4. Desarrollar capacidades para una eficiente  gestión comercial de organización</v>
      </c>
      <c r="D24" s="203"/>
      <c r="E24" s="34" t="str">
        <f>'Formato 01'!B27</f>
        <v xml:space="preserve">Coordinador del PNT </v>
      </c>
      <c r="F24" s="44" t="s">
        <v>84</v>
      </c>
      <c r="G24" s="44" t="s">
        <v>109</v>
      </c>
      <c r="H24" s="35">
        <f>+'Formato 01'!K27</f>
        <v>9</v>
      </c>
      <c r="I24" s="31"/>
      <c r="J24" s="39"/>
      <c r="K24" s="39"/>
      <c r="L24" s="39">
        <v>1</v>
      </c>
      <c r="M24" s="39">
        <v>1</v>
      </c>
      <c r="N24" s="42">
        <v>1</v>
      </c>
      <c r="O24" s="41">
        <v>1</v>
      </c>
      <c r="P24" s="37">
        <v>1</v>
      </c>
      <c r="Q24" s="37">
        <v>1</v>
      </c>
      <c r="R24" s="37">
        <v>1</v>
      </c>
      <c r="S24" s="37">
        <v>1</v>
      </c>
      <c r="T24" s="38">
        <v>1</v>
      </c>
    </row>
    <row r="25" spans="2:20" s="1" customFormat="1" ht="33" customHeight="1" thickBot="1" x14ac:dyDescent="0.35">
      <c r="B25" s="207"/>
      <c r="C25" s="204"/>
      <c r="D25" s="205"/>
      <c r="E25" s="32" t="str">
        <f>'Formato 01'!B28</f>
        <v>Formulación del PNT</v>
      </c>
      <c r="F25" s="44" t="s">
        <v>84</v>
      </c>
      <c r="G25" s="44" t="s">
        <v>107</v>
      </c>
      <c r="H25" s="35">
        <f>+'Formato 01'!K28</f>
        <v>1</v>
      </c>
      <c r="I25" s="28"/>
      <c r="J25" s="29">
        <v>1</v>
      </c>
      <c r="K25" s="29"/>
      <c r="L25" s="29"/>
      <c r="M25" s="29"/>
      <c r="N25" s="42"/>
      <c r="O25" s="76"/>
      <c r="P25" s="29"/>
      <c r="Q25" s="29"/>
      <c r="R25" s="29"/>
      <c r="S25" s="29"/>
      <c r="T25" s="30"/>
    </row>
    <row r="26" spans="2:20" s="1" customFormat="1" ht="16.95" customHeight="1" x14ac:dyDescent="0.3">
      <c r="B26" s="201"/>
      <c r="C26" s="201"/>
      <c r="D26" s="201"/>
      <c r="E26" s="201"/>
      <c r="F26" s="201"/>
      <c r="G26" s="201"/>
      <c r="H26" s="201"/>
      <c r="I26" s="201"/>
      <c r="J26" s="201"/>
      <c r="K26" s="201"/>
      <c r="L26" s="201"/>
      <c r="M26" s="201"/>
      <c r="N26" s="201"/>
    </row>
    <row r="27" spans="2:20" s="1" customFormat="1" ht="12.75" customHeight="1" x14ac:dyDescent="0.3">
      <c r="B27" s="17"/>
      <c r="C27" s="18"/>
      <c r="D27" s="19"/>
      <c r="E27" s="19"/>
      <c r="F27" s="19"/>
      <c r="G27" s="19"/>
      <c r="H27" s="26"/>
      <c r="I27" s="21"/>
      <c r="J27" s="21"/>
      <c r="K27" s="21"/>
      <c r="L27" s="21"/>
      <c r="M27" s="21"/>
      <c r="N27" s="21"/>
    </row>
    <row r="28" spans="2:20" s="4" customFormat="1" ht="15" customHeight="1" x14ac:dyDescent="0.3">
      <c r="B28" s="18"/>
      <c r="C28" s="181" t="s">
        <v>123</v>
      </c>
      <c r="D28" s="181"/>
      <c r="E28" s="181"/>
      <c r="F28" s="181"/>
      <c r="G28" s="181"/>
      <c r="H28" s="181"/>
      <c r="O28" s="1"/>
      <c r="P28" s="1"/>
      <c r="Q28" s="1"/>
      <c r="R28" s="1"/>
      <c r="S28" s="1"/>
    </row>
    <row r="29" spans="2:20" ht="11.25" customHeight="1" x14ac:dyDescent="0.3"/>
    <row r="30" spans="2:20" ht="11.7" customHeight="1" x14ac:dyDescent="0.3"/>
    <row r="31" spans="2:20" ht="0" hidden="1" customHeight="1" x14ac:dyDescent="0.3"/>
    <row r="32" spans="2:20" s="2" customFormat="1" ht="0" hidden="1" customHeight="1" x14ac:dyDescent="0.3">
      <c r="C32"/>
      <c r="D32"/>
      <c r="E32"/>
      <c r="F32"/>
      <c r="G32"/>
      <c r="H32" s="24"/>
      <c r="I32"/>
      <c r="J32"/>
      <c r="K32"/>
      <c r="L32"/>
      <c r="M32"/>
      <c r="N32"/>
      <c r="O32" s="1"/>
      <c r="P32" s="1"/>
      <c r="Q32" s="1"/>
      <c r="R32" s="1"/>
      <c r="S32" s="1"/>
    </row>
  </sheetData>
  <mergeCells count="27">
    <mergeCell ref="C24:D25"/>
    <mergeCell ref="B24:B25"/>
    <mergeCell ref="G11:G12"/>
    <mergeCell ref="F11:F12"/>
    <mergeCell ref="O11:T11"/>
    <mergeCell ref="C13:D17"/>
    <mergeCell ref="B13:B17"/>
    <mergeCell ref="E11:E12"/>
    <mergeCell ref="B20:B22"/>
    <mergeCell ref="C20:D22"/>
    <mergeCell ref="C23:D23"/>
    <mergeCell ref="C28:H28"/>
    <mergeCell ref="B3:D3"/>
    <mergeCell ref="B6:C6"/>
    <mergeCell ref="B7:C7"/>
    <mergeCell ref="B5:T5"/>
    <mergeCell ref="D6:E6"/>
    <mergeCell ref="D7:L7"/>
    <mergeCell ref="D8:E8"/>
    <mergeCell ref="D9:L9"/>
    <mergeCell ref="B8:C8"/>
    <mergeCell ref="B9:C9"/>
    <mergeCell ref="B11:B12"/>
    <mergeCell ref="C11:D12"/>
    <mergeCell ref="H11:H12"/>
    <mergeCell ref="I11:N11"/>
    <mergeCell ref="B26:N26"/>
  </mergeCells>
  <phoneticPr fontId="28" type="noConversion"/>
  <pageMargins left="0.39370078740157483" right="0.19685039370078741" top="0.19685039370078741" bottom="0.19685039370078741" header="0.19685039370078741" footer="0.19685039370078741"/>
  <pageSetup paperSize="9" scale="6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T28"/>
  <sheetViews>
    <sheetView showGridLines="0" topLeftCell="E11" zoomScale="298" zoomScaleNormal="298" workbookViewId="0">
      <selection activeCell="O12" sqref="O12"/>
    </sheetView>
  </sheetViews>
  <sheetFormatPr baseColWidth="10" defaultColWidth="11.44140625" defaultRowHeight="14.4" x14ac:dyDescent="0.3"/>
  <cols>
    <col min="1" max="1" width="1.88671875" customWidth="1"/>
    <col min="2" max="2" width="3.5546875" style="2" customWidth="1"/>
    <col min="3" max="3" width="12.109375" customWidth="1"/>
    <col min="4" max="4" width="10.5546875" customWidth="1"/>
    <col min="5" max="5" width="30.6640625" customWidth="1"/>
    <col min="6" max="6" width="23.109375" bestFit="1" customWidth="1"/>
    <col min="7" max="7" width="12.33203125" customWidth="1"/>
    <col min="8" max="8" width="13.5546875" style="24" customWidth="1"/>
    <col min="9" max="9" width="7.88671875" bestFit="1" customWidth="1"/>
    <col min="10" max="10" width="11" customWidth="1"/>
    <col min="11" max="11" width="12.44140625" customWidth="1"/>
    <col min="12" max="12" width="15.109375" customWidth="1"/>
    <col min="13" max="13" width="10.109375" bestFit="1" customWidth="1"/>
    <col min="14" max="14" width="13.109375" customWidth="1"/>
    <col min="15" max="15" width="9.88671875" style="1" customWidth="1"/>
    <col min="16" max="16" width="8.44140625" style="1" bestFit="1" customWidth="1"/>
    <col min="17" max="17" width="9.33203125" style="1" customWidth="1"/>
    <col min="18" max="18" width="8.109375" style="1" customWidth="1"/>
    <col min="19" max="19" width="8.44140625" style="1" bestFit="1" customWidth="1"/>
    <col min="20" max="20" width="8.5546875" customWidth="1"/>
  </cols>
  <sheetData>
    <row r="1" spans="2:20" ht="3" customHeight="1" x14ac:dyDescent="0.3"/>
    <row r="2" spans="2:20" ht="0.9" customHeight="1" x14ac:dyDescent="0.3"/>
    <row r="3" spans="2:20" ht="31.2" customHeight="1" x14ac:dyDescent="0.3">
      <c r="B3" s="152"/>
      <c r="C3" s="152"/>
      <c r="D3" s="152"/>
    </row>
    <row r="4" spans="2:20" ht="2.4" customHeight="1" x14ac:dyDescent="0.3"/>
    <row r="5" spans="2:20" ht="27" customHeight="1" x14ac:dyDescent="0.3">
      <c r="B5" s="187" t="s">
        <v>98</v>
      </c>
      <c r="C5" s="187"/>
      <c r="D5" s="187"/>
      <c r="E5" s="187"/>
      <c r="F5" s="187"/>
      <c r="G5" s="187"/>
      <c r="H5" s="187"/>
      <c r="I5" s="187"/>
      <c r="J5" s="187"/>
      <c r="K5" s="187"/>
      <c r="L5" s="187"/>
      <c r="M5" s="187"/>
      <c r="N5" s="187"/>
      <c r="O5" s="187"/>
      <c r="P5" s="187"/>
      <c r="Q5" s="187"/>
      <c r="R5" s="187"/>
      <c r="S5" s="187"/>
      <c r="T5" s="187"/>
    </row>
    <row r="6" spans="2:20" ht="12.75" customHeight="1" x14ac:dyDescent="0.3">
      <c r="B6" s="186" t="s">
        <v>4</v>
      </c>
      <c r="C6" s="152"/>
      <c r="D6" s="188" t="s">
        <v>0</v>
      </c>
      <c r="E6" s="188"/>
      <c r="F6" s="22"/>
      <c r="G6" s="22"/>
      <c r="H6" s="25"/>
      <c r="I6" s="22"/>
      <c r="J6" s="22"/>
      <c r="N6" s="2"/>
    </row>
    <row r="7" spans="2:20" ht="12.75" customHeight="1" x14ac:dyDescent="0.3">
      <c r="B7" s="186" t="s">
        <v>21</v>
      </c>
      <c r="C7" s="152"/>
      <c r="D7" s="188" t="str">
        <f>+Caratula!C7</f>
        <v>ASOCIACION DE PRODUCTORES AGROPECUARIOS MICROCUENCA NORTE RIO NUÑOA</v>
      </c>
      <c r="E7" s="188"/>
      <c r="F7" s="188"/>
      <c r="G7" s="188"/>
      <c r="H7" s="188"/>
      <c r="I7" s="188"/>
      <c r="J7" s="188"/>
      <c r="K7" s="188"/>
      <c r="L7" s="188"/>
      <c r="M7" s="40"/>
      <c r="N7" s="40"/>
    </row>
    <row r="8" spans="2:20" ht="12.75" customHeight="1" x14ac:dyDescent="0.3">
      <c r="B8" s="186" t="s">
        <v>5</v>
      </c>
      <c r="C8" s="152"/>
      <c r="D8" s="188">
        <f>+Caratula!J7</f>
        <v>20448433316</v>
      </c>
      <c r="E8" s="188"/>
      <c r="F8" s="22"/>
      <c r="G8" s="22"/>
      <c r="H8" s="25"/>
      <c r="I8" s="22"/>
      <c r="J8" s="22"/>
      <c r="N8" s="2"/>
    </row>
    <row r="9" spans="2:20" ht="12.75" customHeight="1" x14ac:dyDescent="0.3">
      <c r="B9" s="189" t="s">
        <v>6</v>
      </c>
      <c r="C9" s="189"/>
      <c r="D9" s="155" t="str">
        <f>+Caratula!C8</f>
        <v>MEJORAMIENTO DEL MANEJO PRUDUCTIVO DE LA ALPACA</v>
      </c>
      <c r="E9" s="154"/>
      <c r="F9" s="154"/>
      <c r="G9" s="154"/>
      <c r="H9" s="154"/>
      <c r="I9" s="154"/>
      <c r="J9" s="154"/>
      <c r="K9" s="154"/>
      <c r="L9" s="154"/>
      <c r="M9" s="14"/>
      <c r="N9" s="14"/>
    </row>
    <row r="10" spans="2:20" ht="9.15" customHeight="1" thickBot="1" x14ac:dyDescent="0.35">
      <c r="I10" s="22"/>
      <c r="J10" s="22"/>
    </row>
    <row r="11" spans="2:20" s="1" customFormat="1" ht="15.75" customHeight="1" thickBot="1" x14ac:dyDescent="0.35">
      <c r="B11" s="190" t="s">
        <v>7</v>
      </c>
      <c r="C11" s="192" t="s">
        <v>80</v>
      </c>
      <c r="D11" s="193"/>
      <c r="E11" s="196" t="s">
        <v>40</v>
      </c>
      <c r="F11" s="196" t="s">
        <v>56</v>
      </c>
      <c r="G11" s="196" t="s">
        <v>57</v>
      </c>
      <c r="H11" s="196" t="s">
        <v>60</v>
      </c>
      <c r="I11" s="198" t="s">
        <v>65</v>
      </c>
      <c r="J11" s="199"/>
      <c r="K11" s="199"/>
      <c r="L11" s="199"/>
      <c r="M11" s="199"/>
      <c r="N11" s="200"/>
      <c r="O11" s="198" t="s">
        <v>66</v>
      </c>
      <c r="P11" s="199"/>
      <c r="Q11" s="199"/>
      <c r="R11" s="199"/>
      <c r="S11" s="199"/>
      <c r="T11" s="200"/>
    </row>
    <row r="12" spans="2:20" s="1" customFormat="1" ht="15" thickBot="1" x14ac:dyDescent="0.35">
      <c r="B12" s="191"/>
      <c r="C12" s="194"/>
      <c r="D12" s="195"/>
      <c r="E12" s="197"/>
      <c r="F12" s="197"/>
      <c r="G12" s="197"/>
      <c r="H12" s="197"/>
      <c r="I12" s="107">
        <v>45749</v>
      </c>
      <c r="J12" s="107">
        <v>45779</v>
      </c>
      <c r="K12" s="107">
        <v>45810</v>
      </c>
      <c r="L12" s="107">
        <v>45840</v>
      </c>
      <c r="M12" s="107">
        <v>45871</v>
      </c>
      <c r="N12" s="107">
        <v>45902</v>
      </c>
      <c r="O12" s="107">
        <v>45932</v>
      </c>
      <c r="P12" s="107">
        <v>45963</v>
      </c>
      <c r="Q12" s="107">
        <v>45993</v>
      </c>
      <c r="R12" s="107">
        <v>46024</v>
      </c>
      <c r="S12" s="107">
        <v>46055</v>
      </c>
      <c r="T12" s="107">
        <v>46083</v>
      </c>
    </row>
    <row r="13" spans="2:20" ht="28.5" customHeight="1" thickBot="1" x14ac:dyDescent="0.35">
      <c r="B13" s="206">
        <v>1</v>
      </c>
      <c r="C13" s="202" t="str">
        <f>+'Formato 01'!C12:I12</f>
        <v>1.1. Aplicar Técnicas de manejo adecuado de los rebaños de alpacas que permita incrementar gradualmente la ganacia de peso diario de 0.08 kg/día a 0.15 kg/día/ alpaca al 5to año</v>
      </c>
      <c r="D13" s="203"/>
      <c r="E13" s="43" t="str">
        <f>'Formato 01'!B13</f>
        <v>Mallas ganaderas de 9  hilos por 100 metros</v>
      </c>
      <c r="F13" s="35" t="s">
        <v>81</v>
      </c>
      <c r="G13" s="44" t="s">
        <v>95</v>
      </c>
      <c r="H13" s="95">
        <f>'Formato 01'!M13</f>
        <v>185760</v>
      </c>
      <c r="I13" s="36"/>
      <c r="J13" s="99"/>
      <c r="K13" s="98">
        <f t="shared" ref="K13:K19" si="0">H13</f>
        <v>185760</v>
      </c>
      <c r="L13" s="99"/>
      <c r="M13" s="99"/>
      <c r="N13" s="100"/>
      <c r="O13" s="41"/>
      <c r="P13" s="37"/>
      <c r="Q13" s="37"/>
      <c r="R13" s="37"/>
      <c r="S13" s="37"/>
      <c r="T13" s="38"/>
    </row>
    <row r="14" spans="2:20" ht="48" customHeight="1" thickBot="1" x14ac:dyDescent="0.35">
      <c r="B14" s="210"/>
      <c r="C14" s="208"/>
      <c r="D14" s="209"/>
      <c r="E14" s="43" t="str">
        <f>'Formato 01'!B14</f>
        <v>Postes Metálicos de 1.98m x 1.15"con ancla tipo flecha de acero, acabado y pintado</v>
      </c>
      <c r="F14" s="35" t="s">
        <v>81</v>
      </c>
      <c r="G14" s="44" t="s">
        <v>95</v>
      </c>
      <c r="H14" s="95">
        <f>'Formato 01'!M14</f>
        <v>103680</v>
      </c>
      <c r="I14" s="31"/>
      <c r="J14" s="98"/>
      <c r="K14" s="98">
        <f t="shared" si="0"/>
        <v>103680</v>
      </c>
      <c r="L14" s="98"/>
      <c r="M14" s="98"/>
      <c r="N14" s="101"/>
      <c r="O14" s="83"/>
      <c r="P14" s="39"/>
      <c r="Q14" s="39"/>
      <c r="R14" s="39"/>
      <c r="S14" s="39"/>
      <c r="T14" s="42"/>
    </row>
    <row r="15" spans="2:20" ht="28.5" customHeight="1" thickBot="1" x14ac:dyDescent="0.35">
      <c r="B15" s="210"/>
      <c r="C15" s="208"/>
      <c r="D15" s="209"/>
      <c r="E15" s="43" t="str">
        <f>'Formato 01'!B15</f>
        <v>Tecle 2T</v>
      </c>
      <c r="F15" s="35" t="s">
        <v>81</v>
      </c>
      <c r="G15" s="44" t="s">
        <v>95</v>
      </c>
      <c r="H15" s="95">
        <f>'Formato 01'!M15</f>
        <v>2700</v>
      </c>
      <c r="I15" s="31"/>
      <c r="J15" s="98"/>
      <c r="K15" s="98">
        <f t="shared" si="0"/>
        <v>2700</v>
      </c>
      <c r="L15" s="98"/>
      <c r="M15" s="98"/>
      <c r="N15" s="101"/>
      <c r="O15" s="83"/>
      <c r="P15" s="39"/>
      <c r="Q15" s="39"/>
      <c r="R15" s="39"/>
      <c r="S15" s="39"/>
      <c r="T15" s="42"/>
    </row>
    <row r="16" spans="2:20" ht="28.5" customHeight="1" thickBot="1" x14ac:dyDescent="0.35">
      <c r="B16" s="210"/>
      <c r="C16" s="208"/>
      <c r="D16" s="209"/>
      <c r="E16" s="43" t="s">
        <v>127</v>
      </c>
      <c r="F16" s="35" t="s">
        <v>81</v>
      </c>
      <c r="G16" s="44" t="s">
        <v>95</v>
      </c>
      <c r="H16" s="95">
        <f>'Formato 01'!M16</f>
        <v>14580</v>
      </c>
      <c r="I16" s="31"/>
      <c r="J16" s="98"/>
      <c r="K16" s="98">
        <f t="shared" si="0"/>
        <v>14580</v>
      </c>
      <c r="L16" s="98"/>
      <c r="M16" s="98"/>
      <c r="N16" s="101"/>
      <c r="O16" s="83"/>
      <c r="P16" s="39"/>
      <c r="Q16" s="98"/>
      <c r="R16" s="39"/>
      <c r="S16" s="39"/>
      <c r="T16" s="42"/>
    </row>
    <row r="17" spans="2:20" ht="28.5" customHeight="1" thickBot="1" x14ac:dyDescent="0.35">
      <c r="B17" s="210"/>
      <c r="C17" s="208"/>
      <c r="D17" s="209"/>
      <c r="E17" s="43" t="str">
        <f>'Formato 01'!B17</f>
        <v>Grapha Galvanizada 1"</v>
      </c>
      <c r="F17" s="82" t="s">
        <v>81</v>
      </c>
      <c r="G17" s="44" t="s">
        <v>95</v>
      </c>
      <c r="H17" s="95">
        <f>'Formato 01'!M17</f>
        <v>1620</v>
      </c>
      <c r="I17" s="31"/>
      <c r="J17" s="98"/>
      <c r="K17" s="98">
        <f t="shared" si="0"/>
        <v>1620</v>
      </c>
      <c r="L17" s="98"/>
      <c r="M17" s="98"/>
      <c r="N17" s="101"/>
      <c r="O17" s="83"/>
      <c r="P17" s="39"/>
      <c r="Q17" s="39"/>
      <c r="R17" s="39"/>
      <c r="S17" s="39"/>
      <c r="T17" s="42"/>
    </row>
    <row r="18" spans="2:20" ht="28.5" customHeight="1" thickBot="1" x14ac:dyDescent="0.35">
      <c r="B18" s="115"/>
      <c r="C18" s="208"/>
      <c r="D18" s="209"/>
      <c r="E18" s="43" t="s">
        <v>130</v>
      </c>
      <c r="F18" s="82" t="s">
        <v>81</v>
      </c>
      <c r="G18" s="44" t="s">
        <v>95</v>
      </c>
      <c r="H18" s="96">
        <f>'Formato 01'!M18</f>
        <v>42120</v>
      </c>
      <c r="I18" s="31"/>
      <c r="J18" s="98"/>
      <c r="K18" s="98">
        <f t="shared" si="0"/>
        <v>42120</v>
      </c>
      <c r="L18" s="98"/>
      <c r="M18" s="98"/>
      <c r="N18" s="101"/>
      <c r="O18" s="83"/>
      <c r="P18" s="39"/>
      <c r="Q18" s="39"/>
      <c r="R18" s="39"/>
      <c r="S18" s="39"/>
      <c r="T18" s="42"/>
    </row>
    <row r="19" spans="2:20" ht="28.5" customHeight="1" thickBot="1" x14ac:dyDescent="0.35">
      <c r="B19" s="115"/>
      <c r="C19" s="204"/>
      <c r="D19" s="205"/>
      <c r="E19" s="43" t="s">
        <v>131</v>
      </c>
      <c r="F19" s="82" t="s">
        <v>81</v>
      </c>
      <c r="G19" s="44" t="s">
        <v>95</v>
      </c>
      <c r="H19" s="96">
        <f>'Formato 01'!M19</f>
        <v>135</v>
      </c>
      <c r="I19" s="31"/>
      <c r="J19" s="98"/>
      <c r="K19" s="98">
        <f t="shared" si="0"/>
        <v>135</v>
      </c>
      <c r="L19" s="98"/>
      <c r="M19" s="98"/>
      <c r="N19" s="101"/>
      <c r="O19" s="83"/>
      <c r="P19" s="39"/>
      <c r="Q19" s="39"/>
      <c r="R19" s="39"/>
      <c r="S19" s="39"/>
      <c r="T19" s="42"/>
    </row>
    <row r="20" spans="2:20" ht="30" customHeight="1" thickBot="1" x14ac:dyDescent="0.35">
      <c r="B20" s="206">
        <v>2</v>
      </c>
      <c r="C20" s="202" t="str">
        <f>'Formato 01'!C20</f>
        <v>1.2. Ampliar la oferta forrajera con la instalación de 54 ha de alfalfa y dactilys en la asociación al 2do año</v>
      </c>
      <c r="D20" s="203"/>
      <c r="E20" s="43" t="str">
        <f>'Formato 02A'!E20</f>
        <v>Semilla de Alfalfa</v>
      </c>
      <c r="F20" s="82" t="s">
        <v>81</v>
      </c>
      <c r="G20" s="44" t="s">
        <v>95</v>
      </c>
      <c r="H20" s="96">
        <f>'Formato 01'!M21</f>
        <v>54000</v>
      </c>
      <c r="I20" s="31"/>
      <c r="J20" s="108"/>
      <c r="K20" s="108"/>
      <c r="L20" s="98"/>
      <c r="M20" s="98"/>
      <c r="N20" s="101">
        <f>H20</f>
        <v>54000</v>
      </c>
      <c r="O20" s="83"/>
      <c r="P20" s="39"/>
      <c r="Q20" s="39"/>
      <c r="R20" s="39"/>
      <c r="S20" s="39"/>
      <c r="T20" s="42"/>
    </row>
    <row r="21" spans="2:20" ht="30" customHeight="1" thickBot="1" x14ac:dyDescent="0.35">
      <c r="B21" s="210"/>
      <c r="C21" s="208"/>
      <c r="D21" s="209"/>
      <c r="E21" s="34" t="str">
        <f>'Formato 02A'!E21</f>
        <v>Semilla de Dactilys Glomerata</v>
      </c>
      <c r="F21" s="82" t="s">
        <v>81</v>
      </c>
      <c r="G21" s="44" t="s">
        <v>95</v>
      </c>
      <c r="H21" s="96">
        <f>'Formato 01'!M22</f>
        <v>2700</v>
      </c>
      <c r="I21" s="31"/>
      <c r="J21" s="108"/>
      <c r="K21" s="98"/>
      <c r="L21" s="98"/>
      <c r="M21" s="98"/>
      <c r="N21" s="101">
        <f>H21</f>
        <v>2700</v>
      </c>
      <c r="O21" s="83"/>
      <c r="P21" s="39"/>
      <c r="Q21" s="39"/>
      <c r="R21" s="39"/>
      <c r="S21" s="39"/>
      <c r="T21" s="42"/>
    </row>
    <row r="22" spans="2:20" ht="30" customHeight="1" thickBot="1" x14ac:dyDescent="0.35">
      <c r="B22" s="210"/>
      <c r="C22" s="208"/>
      <c r="D22" s="209"/>
      <c r="E22" s="34" t="str">
        <f>'Formato 02A'!E22</f>
        <v>Guano de las islas</v>
      </c>
      <c r="F22" s="82" t="s">
        <v>81</v>
      </c>
      <c r="G22" s="44" t="s">
        <v>95</v>
      </c>
      <c r="H22" s="96">
        <f>'Formato 01'!M23</f>
        <v>70200</v>
      </c>
      <c r="I22" s="31"/>
      <c r="J22" s="108"/>
      <c r="K22" s="98"/>
      <c r="L22" s="98"/>
      <c r="M22" s="98"/>
      <c r="N22" s="101">
        <f>H22</f>
        <v>70200</v>
      </c>
      <c r="O22" s="83"/>
      <c r="P22" s="39"/>
      <c r="Q22" s="39"/>
      <c r="R22" s="39"/>
      <c r="S22" s="39"/>
      <c r="T22" s="42"/>
    </row>
    <row r="23" spans="2:20" ht="58.5" customHeight="1" thickBot="1" x14ac:dyDescent="0.35">
      <c r="B23" s="113">
        <v>3</v>
      </c>
      <c r="C23" s="202" t="str">
        <f>+'Formato 01'!C24:I24</f>
        <v>1.3.Reducir el porcentaje de mortalidad de 4% a 2% al 2do año</v>
      </c>
      <c r="D23" s="203"/>
      <c r="E23" s="34" t="str">
        <f>'Formato 01'!B25</f>
        <v>Kit Veterinario</v>
      </c>
      <c r="F23" s="35" t="s">
        <v>81</v>
      </c>
      <c r="G23" s="44" t="s">
        <v>95</v>
      </c>
      <c r="H23" s="97">
        <f>'Formato 01'!M25</f>
        <v>6858</v>
      </c>
      <c r="I23" s="36"/>
      <c r="J23" s="99"/>
      <c r="K23" s="99"/>
      <c r="L23" s="99"/>
      <c r="M23" s="99"/>
      <c r="N23" s="117">
        <f>H23</f>
        <v>6858</v>
      </c>
      <c r="O23" s="36"/>
      <c r="P23" s="37"/>
      <c r="Q23" s="99"/>
      <c r="R23" s="37"/>
      <c r="S23" s="37"/>
      <c r="T23" s="38"/>
    </row>
    <row r="24" spans="2:20" ht="27" customHeight="1" thickBot="1" x14ac:dyDescent="0.35">
      <c r="B24" s="206">
        <v>4</v>
      </c>
      <c r="C24" s="202" t="str">
        <f>'Formato 01'!C26:I26</f>
        <v>1.4. Desarrollar capacidades para una eficiente  gestión comercial de organización</v>
      </c>
      <c r="D24" s="203"/>
      <c r="E24" s="34" t="str">
        <f>'Formato 01'!B27</f>
        <v xml:space="preserve">Coordinador del PNT </v>
      </c>
      <c r="F24" s="44" t="s">
        <v>84</v>
      </c>
      <c r="G24" s="44" t="s">
        <v>95</v>
      </c>
      <c r="H24" s="97">
        <f>'Formato 01'!M27</f>
        <v>18000</v>
      </c>
      <c r="I24" s="31"/>
      <c r="J24" s="39"/>
      <c r="K24" s="98"/>
      <c r="L24" s="98">
        <v>2000</v>
      </c>
      <c r="M24" s="98">
        <v>2000</v>
      </c>
      <c r="N24" s="101">
        <v>2000</v>
      </c>
      <c r="O24" s="104">
        <v>2000</v>
      </c>
      <c r="P24" s="99">
        <v>2000</v>
      </c>
      <c r="Q24" s="99">
        <v>2000</v>
      </c>
      <c r="R24" s="99">
        <v>2000</v>
      </c>
      <c r="S24" s="99">
        <v>2000</v>
      </c>
      <c r="T24" s="100">
        <v>2000</v>
      </c>
    </row>
    <row r="25" spans="2:20" s="1" customFormat="1" ht="33" customHeight="1" thickBot="1" x14ac:dyDescent="0.35">
      <c r="B25" s="207"/>
      <c r="C25" s="204"/>
      <c r="D25" s="205"/>
      <c r="E25" s="32" t="str">
        <f>'Formato 01'!B28</f>
        <v>Formulación del PNT</v>
      </c>
      <c r="F25" s="71" t="s">
        <v>84</v>
      </c>
      <c r="G25" s="71" t="s">
        <v>95</v>
      </c>
      <c r="H25" s="97">
        <f>'Formato 01'!M28</f>
        <v>10000</v>
      </c>
      <c r="I25" s="105"/>
      <c r="J25" s="102">
        <f>H25</f>
        <v>10000</v>
      </c>
      <c r="K25" s="102"/>
      <c r="L25" s="102">
        <v>0</v>
      </c>
      <c r="M25" s="102"/>
      <c r="N25" s="103"/>
      <c r="O25" s="105"/>
      <c r="P25" s="102"/>
      <c r="Q25" s="102"/>
      <c r="R25" s="102"/>
      <c r="S25" s="102"/>
      <c r="T25" s="103"/>
    </row>
    <row r="28" spans="2:20" ht="15" customHeight="1" x14ac:dyDescent="0.3">
      <c r="C28" s="181" t="s">
        <v>123</v>
      </c>
      <c r="D28" s="181"/>
      <c r="E28" s="181"/>
      <c r="F28" s="181"/>
      <c r="G28" s="181"/>
      <c r="H28" s="181"/>
    </row>
  </sheetData>
  <mergeCells count="26">
    <mergeCell ref="C28:H28"/>
    <mergeCell ref="O11:T11"/>
    <mergeCell ref="B13:B17"/>
    <mergeCell ref="B20:B22"/>
    <mergeCell ref="B11:B12"/>
    <mergeCell ref="C11:D12"/>
    <mergeCell ref="E11:E12"/>
    <mergeCell ref="F11:F12"/>
    <mergeCell ref="G11:G12"/>
    <mergeCell ref="H11:H12"/>
    <mergeCell ref="I11:N11"/>
    <mergeCell ref="B24:B25"/>
    <mergeCell ref="C24:D25"/>
    <mergeCell ref="C23:D23"/>
    <mergeCell ref="B3:D3"/>
    <mergeCell ref="B5:T5"/>
    <mergeCell ref="B6:C6"/>
    <mergeCell ref="D6:E6"/>
    <mergeCell ref="B7:C7"/>
    <mergeCell ref="D7:L7"/>
    <mergeCell ref="B8:C8"/>
    <mergeCell ref="D8:E8"/>
    <mergeCell ref="B9:C9"/>
    <mergeCell ref="D9:L9"/>
    <mergeCell ref="C20:D22"/>
    <mergeCell ref="C13:D19"/>
  </mergeCells>
  <pageMargins left="0.39370078740157483" right="0.19685039370078741" top="0.19685039370078741" bottom="0.19685039370078741" header="0.19685039370078741" footer="0.19685039370078741"/>
  <pageSetup paperSize="9" scale="61"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L34"/>
  <sheetViews>
    <sheetView showGridLines="0" tabSelected="1" view="pageLayout" topLeftCell="A10" zoomScale="98" zoomScaleNormal="73" zoomScalePageLayoutView="98" workbookViewId="0">
      <selection activeCell="E13" sqref="E13:E16"/>
    </sheetView>
  </sheetViews>
  <sheetFormatPr baseColWidth="10" defaultRowHeight="14.4" x14ac:dyDescent="0.3"/>
  <cols>
    <col min="1" max="1" width="1.88671875" customWidth="1"/>
    <col min="2" max="2" width="6" style="2" customWidth="1"/>
    <col min="3" max="3" width="12.109375" customWidth="1"/>
    <col min="4" max="4" width="14.6640625" customWidth="1"/>
    <col min="5" max="5" width="16.44140625" customWidth="1"/>
    <col min="6" max="6" width="19.88671875" customWidth="1"/>
    <col min="7" max="8" width="11" bestFit="1" customWidth="1"/>
    <col min="9" max="9" width="11.33203125" customWidth="1"/>
    <col min="10" max="10" width="11.6640625" customWidth="1"/>
    <col min="11" max="11" width="13.6640625" customWidth="1"/>
    <col min="12" max="12" width="14.6640625" customWidth="1"/>
  </cols>
  <sheetData>
    <row r="1" spans="2:12" ht="3" customHeight="1" x14ac:dyDescent="0.3"/>
    <row r="2" spans="2:12" ht="0.9" customHeight="1" x14ac:dyDescent="0.3"/>
    <row r="3" spans="2:12" ht="31.2" customHeight="1" x14ac:dyDescent="0.3">
      <c r="B3" s="152"/>
      <c r="C3" s="152"/>
      <c r="D3" s="152"/>
    </row>
    <row r="4" spans="2:12" ht="2.4" customHeight="1" x14ac:dyDescent="0.3"/>
    <row r="5" spans="2:12" ht="27" customHeight="1" x14ac:dyDescent="0.3">
      <c r="B5" s="232" t="s">
        <v>67</v>
      </c>
      <c r="C5" s="232"/>
      <c r="D5" s="232"/>
      <c r="E5" s="232"/>
      <c r="F5" s="232"/>
      <c r="G5" s="232"/>
      <c r="H5" s="232"/>
      <c r="I5" s="232"/>
      <c r="J5" s="232"/>
      <c r="K5" s="232"/>
    </row>
    <row r="6" spans="2:12" ht="12.75" customHeight="1" x14ac:dyDescent="0.3">
      <c r="B6" s="186" t="s">
        <v>4</v>
      </c>
      <c r="C6" s="186"/>
      <c r="D6" s="188" t="s">
        <v>0</v>
      </c>
      <c r="E6" s="188"/>
      <c r="F6" s="188"/>
      <c r="G6" s="188"/>
      <c r="H6" s="188"/>
      <c r="I6" s="188"/>
      <c r="K6" s="2"/>
      <c r="L6" s="2"/>
    </row>
    <row r="7" spans="2:12" ht="12.75" customHeight="1" x14ac:dyDescent="0.3">
      <c r="B7" s="186" t="s">
        <v>21</v>
      </c>
      <c r="C7" s="186"/>
      <c r="D7" s="188" t="str">
        <f>+Caratula!C7</f>
        <v>ASOCIACION DE PRODUCTORES AGROPECUARIOS MICROCUENCA NORTE RIO NUÑOA</v>
      </c>
      <c r="E7" s="188"/>
      <c r="F7" s="188"/>
      <c r="G7" s="188"/>
      <c r="H7" s="188"/>
      <c r="I7" s="188"/>
      <c r="J7" s="188"/>
      <c r="K7" s="188"/>
      <c r="L7" s="22"/>
    </row>
    <row r="8" spans="2:12" ht="12.75" customHeight="1" x14ac:dyDescent="0.3">
      <c r="B8" s="186" t="s">
        <v>5</v>
      </c>
      <c r="C8" s="186"/>
      <c r="D8" s="188">
        <f>+Caratula!J7</f>
        <v>20448433316</v>
      </c>
      <c r="E8" s="188"/>
      <c r="F8" s="188"/>
      <c r="G8" s="188"/>
      <c r="H8" s="188"/>
      <c r="I8" s="188"/>
      <c r="K8" s="2"/>
      <c r="L8" s="2"/>
    </row>
    <row r="9" spans="2:12" ht="12.75" customHeight="1" x14ac:dyDescent="0.3">
      <c r="B9" s="189" t="s">
        <v>6</v>
      </c>
      <c r="C9" s="189"/>
      <c r="D9" s="156" t="str">
        <f>+Caratula!C8</f>
        <v>MEJORAMIENTO DEL MANEJO PRUDUCTIVO DE LA ALPACA</v>
      </c>
      <c r="E9" s="156"/>
      <c r="F9" s="156"/>
      <c r="G9" s="156"/>
      <c r="H9" s="156"/>
      <c r="I9" s="156"/>
      <c r="J9" s="156"/>
      <c r="K9" s="156"/>
      <c r="L9" s="14"/>
    </row>
    <row r="10" spans="2:12" ht="12.75" customHeight="1" x14ac:dyDescent="0.3">
      <c r="B10" s="73"/>
      <c r="C10" s="73"/>
      <c r="D10" s="231"/>
      <c r="E10" s="231"/>
      <c r="F10" s="231"/>
      <c r="G10" s="231"/>
      <c r="H10" s="231"/>
      <c r="I10" s="231"/>
      <c r="J10" s="231"/>
      <c r="K10" s="231"/>
      <c r="L10" s="14"/>
    </row>
    <row r="11" spans="2:12" ht="21.75" customHeight="1" x14ac:dyDescent="0.3">
      <c r="B11" s="215"/>
      <c r="C11" s="221" t="s">
        <v>68</v>
      </c>
      <c r="D11" s="222"/>
      <c r="E11" s="215" t="s">
        <v>85</v>
      </c>
      <c r="F11" s="215" t="s">
        <v>82</v>
      </c>
      <c r="G11" s="74" t="s">
        <v>59</v>
      </c>
      <c r="H11" s="74" t="s">
        <v>69</v>
      </c>
      <c r="I11" s="219" t="s">
        <v>73</v>
      </c>
      <c r="J11" s="220"/>
      <c r="K11" s="27" t="s">
        <v>71</v>
      </c>
      <c r="L11" s="215" t="s">
        <v>56</v>
      </c>
    </row>
    <row r="12" spans="2:12" s="1" customFormat="1" ht="16.5" customHeight="1" thickBot="1" x14ac:dyDescent="0.35">
      <c r="B12" s="216"/>
      <c r="C12" s="223"/>
      <c r="D12" s="224"/>
      <c r="E12" s="216"/>
      <c r="F12" s="216"/>
      <c r="G12" s="75" t="s">
        <v>39</v>
      </c>
      <c r="H12" s="75" t="s">
        <v>70</v>
      </c>
      <c r="I12" s="75" t="s">
        <v>65</v>
      </c>
      <c r="J12" s="75" t="s">
        <v>66</v>
      </c>
      <c r="K12" s="75" t="s">
        <v>72</v>
      </c>
      <c r="L12" s="216"/>
    </row>
    <row r="13" spans="2:12" s="1" customFormat="1" ht="78.75" customHeight="1" thickBot="1" x14ac:dyDescent="0.35">
      <c r="B13" s="77"/>
      <c r="C13" s="227" t="s">
        <v>115</v>
      </c>
      <c r="D13" s="228"/>
      <c r="E13" s="211" t="s">
        <v>158</v>
      </c>
      <c r="F13" s="85" t="s">
        <v>156</v>
      </c>
      <c r="G13" s="86">
        <v>778</v>
      </c>
      <c r="H13" s="86">
        <v>1799</v>
      </c>
      <c r="I13" s="86">
        <f>(778)*0.4</f>
        <v>311.20000000000005</v>
      </c>
      <c r="J13" s="86">
        <f>(778)*0.6</f>
        <v>466.79999999999995</v>
      </c>
      <c r="K13" s="86">
        <f>I13+J13</f>
        <v>778</v>
      </c>
      <c r="L13" s="87" t="s">
        <v>101</v>
      </c>
    </row>
    <row r="14" spans="2:12" s="1" customFormat="1" ht="78.75" customHeight="1" thickBot="1" x14ac:dyDescent="0.35">
      <c r="B14" s="78"/>
      <c r="C14" s="229"/>
      <c r="D14" s="230"/>
      <c r="E14" s="212"/>
      <c r="F14" s="85" t="s">
        <v>157</v>
      </c>
      <c r="G14" s="84">
        <v>15</v>
      </c>
      <c r="H14" s="84">
        <v>15</v>
      </c>
      <c r="I14" s="84">
        <v>15</v>
      </c>
      <c r="J14" s="84">
        <v>15</v>
      </c>
      <c r="K14" s="84">
        <v>15</v>
      </c>
      <c r="L14" s="87" t="s">
        <v>101</v>
      </c>
    </row>
    <row r="15" spans="2:12" s="1" customFormat="1" ht="78.75" customHeight="1" thickBot="1" x14ac:dyDescent="0.35">
      <c r="B15" s="78"/>
      <c r="C15" s="229"/>
      <c r="D15" s="230"/>
      <c r="E15" s="212"/>
      <c r="F15" s="106" t="s">
        <v>159</v>
      </c>
      <c r="G15" s="84">
        <f>G13*G14</f>
        <v>11670</v>
      </c>
      <c r="H15" s="84">
        <f>H13*H14</f>
        <v>26985</v>
      </c>
      <c r="I15" s="84">
        <f>I13*I14</f>
        <v>4668.0000000000009</v>
      </c>
      <c r="J15" s="84">
        <f>J13*J14</f>
        <v>7001.9999999999991</v>
      </c>
      <c r="K15" s="84">
        <f>K13*K14</f>
        <v>11670</v>
      </c>
      <c r="L15" s="87" t="s">
        <v>101</v>
      </c>
    </row>
    <row r="16" spans="2:12" s="1" customFormat="1" ht="78.75" customHeight="1" thickBot="1" x14ac:dyDescent="0.35">
      <c r="B16" s="78"/>
      <c r="C16" s="229"/>
      <c r="D16" s="230"/>
      <c r="E16" s="213"/>
      <c r="F16" s="106" t="s">
        <v>166</v>
      </c>
      <c r="G16" s="84">
        <v>0</v>
      </c>
      <c r="H16" s="84">
        <v>54</v>
      </c>
      <c r="I16" s="84">
        <v>0</v>
      </c>
      <c r="J16" s="84">
        <v>54</v>
      </c>
      <c r="K16" s="84">
        <v>0</v>
      </c>
      <c r="L16" s="87" t="s">
        <v>101</v>
      </c>
    </row>
    <row r="17" spans="2:12" s="1" customFormat="1" ht="78.75" customHeight="1" thickBot="1" x14ac:dyDescent="0.35">
      <c r="B17" s="78"/>
      <c r="C17" s="229"/>
      <c r="D17" s="230"/>
      <c r="E17" s="225" t="s">
        <v>162</v>
      </c>
      <c r="F17" s="106" t="s">
        <v>157</v>
      </c>
      <c r="G17" s="84">
        <v>24.6</v>
      </c>
      <c r="H17" s="84">
        <v>28.5</v>
      </c>
      <c r="I17" s="84">
        <v>25.8</v>
      </c>
      <c r="J17" s="84">
        <v>25.8</v>
      </c>
      <c r="K17" s="84">
        <v>25.8</v>
      </c>
      <c r="L17" s="87" t="s">
        <v>101</v>
      </c>
    </row>
    <row r="18" spans="2:12" s="1" customFormat="1" ht="78.75" customHeight="1" thickBot="1" x14ac:dyDescent="0.35">
      <c r="B18" s="78"/>
      <c r="C18" s="229"/>
      <c r="D18" s="230"/>
      <c r="E18" s="213"/>
      <c r="F18" s="106" t="s">
        <v>159</v>
      </c>
      <c r="G18" s="84">
        <f>G13*G17</f>
        <v>19138.800000000003</v>
      </c>
      <c r="H18" s="84">
        <f>H13*H17</f>
        <v>51271.5</v>
      </c>
      <c r="I18" s="84">
        <f>I13*I17</f>
        <v>8028.9600000000009</v>
      </c>
      <c r="J18" s="84">
        <f>J13*J17</f>
        <v>12043.439999999999</v>
      </c>
      <c r="K18" s="84">
        <f>K13*K17</f>
        <v>20072.400000000001</v>
      </c>
      <c r="L18" s="87" t="s">
        <v>101</v>
      </c>
    </row>
    <row r="19" spans="2:12" s="1" customFormat="1" ht="78.75" customHeight="1" x14ac:dyDescent="0.3">
      <c r="B19" s="78"/>
      <c r="C19" s="229"/>
      <c r="D19" s="230"/>
      <c r="E19" s="225" t="s">
        <v>77</v>
      </c>
      <c r="F19" s="106" t="s">
        <v>160</v>
      </c>
      <c r="G19" s="84">
        <v>120</v>
      </c>
      <c r="H19" s="84">
        <v>90</v>
      </c>
      <c r="I19" s="84">
        <v>120</v>
      </c>
      <c r="J19" s="84">
        <v>120</v>
      </c>
      <c r="K19" s="84">
        <v>120</v>
      </c>
      <c r="L19" s="87" t="s">
        <v>101</v>
      </c>
    </row>
    <row r="20" spans="2:12" s="1" customFormat="1" ht="78.75" customHeight="1" x14ac:dyDescent="0.3">
      <c r="B20" s="78"/>
      <c r="C20" s="229"/>
      <c r="D20" s="230"/>
      <c r="E20" s="212"/>
      <c r="F20" s="106" t="s">
        <v>161</v>
      </c>
      <c r="G20" s="84">
        <v>0.08</v>
      </c>
      <c r="H20" s="84">
        <v>0.15</v>
      </c>
      <c r="I20" s="84">
        <v>0.09</v>
      </c>
      <c r="J20" s="84">
        <v>0.09</v>
      </c>
      <c r="K20" s="84">
        <v>0.09</v>
      </c>
      <c r="L20" s="88" t="s">
        <v>101</v>
      </c>
    </row>
    <row r="21" spans="2:12" s="1" customFormat="1" ht="78.75" customHeight="1" x14ac:dyDescent="0.3">
      <c r="B21" s="78"/>
      <c r="C21" s="229"/>
      <c r="D21" s="230"/>
      <c r="E21" s="212"/>
      <c r="F21" s="106" t="s">
        <v>168</v>
      </c>
      <c r="G21" s="120">
        <v>0.04</v>
      </c>
      <c r="H21" s="120">
        <v>0.02</v>
      </c>
      <c r="I21" s="120">
        <v>0.04</v>
      </c>
      <c r="J21" s="120">
        <v>0.04</v>
      </c>
      <c r="K21" s="120">
        <v>0.04</v>
      </c>
      <c r="L21" s="88" t="s">
        <v>101</v>
      </c>
    </row>
    <row r="22" spans="2:12" s="1" customFormat="1" ht="78.75" customHeight="1" thickBot="1" x14ac:dyDescent="0.35">
      <c r="B22" s="78"/>
      <c r="C22" s="229"/>
      <c r="D22" s="230"/>
      <c r="E22" s="226"/>
      <c r="F22" s="106" t="s">
        <v>172</v>
      </c>
      <c r="G22" s="79">
        <v>9.6</v>
      </c>
      <c r="H22" s="79">
        <v>13.5</v>
      </c>
      <c r="I22" s="79">
        <v>10.8</v>
      </c>
      <c r="J22" s="79">
        <v>10.8</v>
      </c>
      <c r="K22" s="79">
        <v>10.8</v>
      </c>
      <c r="L22" s="88" t="s">
        <v>101</v>
      </c>
    </row>
    <row r="23" spans="2:12" s="1" customFormat="1" ht="78.75" customHeight="1" x14ac:dyDescent="0.3">
      <c r="B23" s="78"/>
      <c r="C23" s="229"/>
      <c r="D23" s="230"/>
      <c r="E23" s="116"/>
      <c r="F23" s="119" t="s">
        <v>167</v>
      </c>
      <c r="G23" s="110">
        <v>318</v>
      </c>
      <c r="H23" s="110">
        <v>260</v>
      </c>
      <c r="I23" s="110">
        <v>271</v>
      </c>
      <c r="J23" s="110">
        <v>271</v>
      </c>
      <c r="K23" s="110">
        <v>271</v>
      </c>
      <c r="L23" s="88" t="s">
        <v>101</v>
      </c>
    </row>
    <row r="24" spans="2:12" s="1" customFormat="1" ht="56.25" customHeight="1" x14ac:dyDescent="0.3">
      <c r="B24" s="78"/>
      <c r="C24" s="229"/>
      <c r="D24" s="230"/>
      <c r="E24" s="212" t="s">
        <v>163</v>
      </c>
      <c r="F24" s="109" t="s">
        <v>164</v>
      </c>
      <c r="G24" s="110">
        <f>G18</f>
        <v>19138.800000000003</v>
      </c>
      <c r="H24" s="110">
        <f t="shared" ref="H24:K24" si="0">H18</f>
        <v>51271.5</v>
      </c>
      <c r="I24" s="110">
        <f t="shared" si="0"/>
        <v>8028.9600000000009</v>
      </c>
      <c r="J24" s="110">
        <f t="shared" si="0"/>
        <v>12043.439999999999</v>
      </c>
      <c r="K24" s="110">
        <f t="shared" si="0"/>
        <v>20072.400000000001</v>
      </c>
      <c r="L24" s="88" t="s">
        <v>101</v>
      </c>
    </row>
    <row r="25" spans="2:12" s="1" customFormat="1" ht="56.25" customHeight="1" x14ac:dyDescent="0.3">
      <c r="B25" s="78"/>
      <c r="C25" s="229"/>
      <c r="D25" s="230"/>
      <c r="E25" s="212"/>
      <c r="F25" s="93" t="s">
        <v>165</v>
      </c>
      <c r="G25" s="110">
        <v>14</v>
      </c>
      <c r="H25" s="110">
        <v>14</v>
      </c>
      <c r="I25" s="110">
        <v>14</v>
      </c>
      <c r="J25" s="110">
        <v>14</v>
      </c>
      <c r="K25" s="110">
        <v>14</v>
      </c>
      <c r="L25" s="88" t="s">
        <v>105</v>
      </c>
    </row>
    <row r="26" spans="2:12" s="1" customFormat="1" ht="56.25" customHeight="1" thickBot="1" x14ac:dyDescent="0.35">
      <c r="B26" s="78"/>
      <c r="C26" s="229"/>
      <c r="D26" s="230"/>
      <c r="E26" s="212"/>
      <c r="F26" s="109" t="s">
        <v>108</v>
      </c>
      <c r="G26" s="110">
        <f>G24*G25</f>
        <v>267943.20000000007</v>
      </c>
      <c r="H26" s="110">
        <f t="shared" ref="H26:K26" si="1">H24*H25</f>
        <v>717801</v>
      </c>
      <c r="I26" s="110">
        <f t="shared" si="1"/>
        <v>112405.44000000002</v>
      </c>
      <c r="J26" s="110">
        <f t="shared" si="1"/>
        <v>168608.15999999997</v>
      </c>
      <c r="K26" s="110">
        <f t="shared" si="1"/>
        <v>281013.60000000003</v>
      </c>
      <c r="L26" s="88" t="s">
        <v>105</v>
      </c>
    </row>
    <row r="27" spans="2:12" s="1" customFormat="1" ht="39.6" customHeight="1" thickBot="1" x14ac:dyDescent="0.35">
      <c r="B27" s="81"/>
      <c r="C27" s="217" t="s">
        <v>99</v>
      </c>
      <c r="D27" s="218"/>
      <c r="E27" s="91" t="s">
        <v>93</v>
      </c>
      <c r="F27" s="118" t="s">
        <v>102</v>
      </c>
      <c r="G27" s="94">
        <f>187*2</f>
        <v>374</v>
      </c>
      <c r="H27" s="94">
        <f>179*2</f>
        <v>358</v>
      </c>
      <c r="I27" s="94">
        <f>(185*2)/2</f>
        <v>185</v>
      </c>
      <c r="J27" s="94">
        <f>(185*2)/2</f>
        <v>185</v>
      </c>
      <c r="K27" s="94">
        <f>I27+J27</f>
        <v>370</v>
      </c>
      <c r="L27" s="92" t="s">
        <v>100</v>
      </c>
    </row>
    <row r="28" spans="2:12" s="1" customFormat="1" ht="39.6" customHeight="1" thickBot="1" x14ac:dyDescent="0.35">
      <c r="B28" s="80"/>
      <c r="C28" s="217" t="s">
        <v>171</v>
      </c>
      <c r="D28" s="218"/>
      <c r="E28" s="91" t="s">
        <v>58</v>
      </c>
      <c r="F28" s="89" t="s">
        <v>169</v>
      </c>
      <c r="G28" s="121">
        <v>0.35</v>
      </c>
      <c r="H28" s="122">
        <v>1</v>
      </c>
      <c r="I28" s="122">
        <f>H28/2</f>
        <v>0.5</v>
      </c>
      <c r="J28" s="122">
        <f>H28/2</f>
        <v>0.5</v>
      </c>
      <c r="K28" s="122">
        <f>I28+J28</f>
        <v>1</v>
      </c>
      <c r="L28" s="90" t="s">
        <v>170</v>
      </c>
    </row>
    <row r="29" spans="2:12" s="1" customFormat="1" ht="42" customHeight="1" x14ac:dyDescent="0.3">
      <c r="B29" s="214" t="s">
        <v>75</v>
      </c>
      <c r="C29" s="214"/>
      <c r="D29" s="214"/>
      <c r="E29" s="214"/>
      <c r="F29" s="214"/>
      <c r="G29" s="214"/>
      <c r="H29" s="214"/>
      <c r="I29" s="214"/>
      <c r="J29" s="214"/>
      <c r="K29" s="214"/>
    </row>
    <row r="30" spans="2:12" s="4" customFormat="1" ht="24" customHeight="1" x14ac:dyDescent="0.3">
      <c r="B30" s="181" t="s">
        <v>123</v>
      </c>
      <c r="C30" s="181"/>
      <c r="D30" s="181"/>
      <c r="E30" s="181"/>
      <c r="F30" s="181"/>
      <c r="G30" s="181"/>
    </row>
    <row r="31" spans="2:12" ht="11.25" customHeight="1" x14ac:dyDescent="0.3"/>
    <row r="32" spans="2:12" ht="11.7" customHeight="1" x14ac:dyDescent="0.3"/>
    <row r="33" ht="0" hidden="1" customHeight="1" x14ac:dyDescent="0.3"/>
    <row r="34" ht="0" hidden="1" customHeight="1" x14ac:dyDescent="0.3"/>
  </sheetData>
  <mergeCells count="27">
    <mergeCell ref="B3:D3"/>
    <mergeCell ref="B6:C6"/>
    <mergeCell ref="B7:C7"/>
    <mergeCell ref="B5:K5"/>
    <mergeCell ref="D6:F6"/>
    <mergeCell ref="G6:I6"/>
    <mergeCell ref="D7:K7"/>
    <mergeCell ref="B8:C8"/>
    <mergeCell ref="B9:C9"/>
    <mergeCell ref="D8:F8"/>
    <mergeCell ref="D9:K10"/>
    <mergeCell ref="G8:I8"/>
    <mergeCell ref="B30:G30"/>
    <mergeCell ref="E13:E16"/>
    <mergeCell ref="B29:K29"/>
    <mergeCell ref="L11:L12"/>
    <mergeCell ref="C28:D28"/>
    <mergeCell ref="E11:E12"/>
    <mergeCell ref="I11:J11"/>
    <mergeCell ref="F11:F12"/>
    <mergeCell ref="C11:D12"/>
    <mergeCell ref="E19:E22"/>
    <mergeCell ref="E17:E18"/>
    <mergeCell ref="B11:B12"/>
    <mergeCell ref="C27:D27"/>
    <mergeCell ref="C13:D26"/>
    <mergeCell ref="E24:E26"/>
  </mergeCells>
  <pageMargins left="0.39370078740157483" right="0.19685039370078741" top="0.19685039370078741" bottom="0.19685039370078741" header="0.19685039370078741" footer="0.19685039370078741"/>
  <pageSetup paperSize="9" scale="59" orientation="portrait"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election activeCell="G3" sqref="G3"/>
    </sheetView>
  </sheetViews>
  <sheetFormatPr baseColWidth="10" defaultRowHeight="14.4" x14ac:dyDescent="0.3"/>
  <sheetData>
    <row r="1" spans="1:7" x14ac:dyDescent="0.3">
      <c r="B1" t="s">
        <v>87</v>
      </c>
      <c r="C1" t="s">
        <v>88</v>
      </c>
      <c r="D1" t="s">
        <v>86</v>
      </c>
      <c r="E1" t="s">
        <v>89</v>
      </c>
      <c r="F1" t="s">
        <v>90</v>
      </c>
      <c r="G1" t="s">
        <v>91</v>
      </c>
    </row>
    <row r="2" spans="1:7" x14ac:dyDescent="0.3">
      <c r="A2">
        <v>0</v>
      </c>
      <c r="B2">
        <v>12</v>
      </c>
      <c r="C2">
        <v>44.5</v>
      </c>
      <c r="D2">
        <f>+B2*C2</f>
        <v>534</v>
      </c>
      <c r="E2">
        <f>+B2*55.2</f>
        <v>662.40000000000009</v>
      </c>
      <c r="F2">
        <f>+E2*C2</f>
        <v>29476.800000000003</v>
      </c>
      <c r="G2">
        <f>+F2/1000</f>
        <v>29.476800000000004</v>
      </c>
    </row>
    <row r="3" spans="1:7" x14ac:dyDescent="0.3">
      <c r="A3">
        <v>1</v>
      </c>
      <c r="B3">
        <v>16</v>
      </c>
      <c r="C3">
        <v>44.5</v>
      </c>
      <c r="D3">
        <f t="shared" ref="D3:D5" si="0">+B3*C3</f>
        <v>712</v>
      </c>
      <c r="E3">
        <f t="shared" ref="E3:E5" si="1">+B3*55.2</f>
        <v>883.2</v>
      </c>
      <c r="F3">
        <f t="shared" ref="F3:F5" si="2">+E3*C3</f>
        <v>39302.400000000001</v>
      </c>
      <c r="G3">
        <f t="shared" ref="G3:G5" si="3">+F3/1000</f>
        <v>39.302399999999999</v>
      </c>
    </row>
    <row r="4" spans="1:7" x14ac:dyDescent="0.3">
      <c r="A4">
        <v>2</v>
      </c>
      <c r="B4">
        <v>20</v>
      </c>
      <c r="C4">
        <v>44.5</v>
      </c>
      <c r="D4">
        <f t="shared" si="0"/>
        <v>890</v>
      </c>
      <c r="E4">
        <f t="shared" si="1"/>
        <v>1104</v>
      </c>
      <c r="F4">
        <f t="shared" si="2"/>
        <v>49128</v>
      </c>
      <c r="G4">
        <f t="shared" si="3"/>
        <v>49.128</v>
      </c>
    </row>
    <row r="5" spans="1:7" x14ac:dyDescent="0.3">
      <c r="A5">
        <v>3</v>
      </c>
      <c r="B5">
        <v>24</v>
      </c>
      <c r="C5">
        <v>44.5</v>
      </c>
      <c r="D5">
        <f t="shared" si="0"/>
        <v>1068</v>
      </c>
      <c r="E5">
        <f t="shared" si="1"/>
        <v>1324.8000000000002</v>
      </c>
      <c r="F5">
        <f t="shared" si="2"/>
        <v>58953.600000000006</v>
      </c>
      <c r="G5">
        <f t="shared" si="3"/>
        <v>58.953600000000009</v>
      </c>
    </row>
    <row r="6" spans="1:7" x14ac:dyDescent="0.3">
      <c r="A6">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H31"/>
  <sheetViews>
    <sheetView workbookViewId="0">
      <selection activeCell="H31" sqref="H31"/>
    </sheetView>
  </sheetViews>
  <sheetFormatPr baseColWidth="10" defaultRowHeight="14.4" x14ac:dyDescent="0.3"/>
  <sheetData>
    <row r="31" spans="8:8" x14ac:dyDescent="0.3">
      <c r="H3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Caratula</vt:lpstr>
      <vt:lpstr>Formato 01</vt:lpstr>
      <vt:lpstr>Formato 02A</vt:lpstr>
      <vt:lpstr>Formato 02B</vt:lpstr>
      <vt:lpstr>Formato 03</vt:lpstr>
      <vt:lpstr>xxxxxxxxxx</vt:lpstr>
      <vt:lpstr>Hoja1</vt:lpstr>
      <vt:lpstr>Caratula!Área_de_impresión</vt:lpstr>
      <vt:lpstr>'Formato 01'!Área_de_impresión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especialista de monitoreo 18</dc:creator>
  <cp:lastModifiedBy>HERBERT PHOCCO</cp:lastModifiedBy>
  <cp:lastPrinted>2026-03-17T17:22:52Z</cp:lastPrinted>
  <dcterms:created xsi:type="dcterms:W3CDTF">2017-05-09T15:51:39Z</dcterms:created>
  <dcterms:modified xsi:type="dcterms:W3CDTF">2026-03-17T17:24:20Z</dcterms:modified>
</cp:coreProperties>
</file>