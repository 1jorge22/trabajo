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RBERT PHOCCO\Desktop\NORTE RIO ÑUNOA\"/>
    </mc:Choice>
  </mc:AlternateContent>
  <xr:revisionPtr revIDLastSave="0" documentId="8_{146BB641-E4C0-4B66-B130-C47BF4D70C4D}" xr6:coauthVersionLast="36" xr6:coauthVersionMax="36" xr10:uidLastSave="{00000000-0000-0000-0000-000000000000}"/>
  <bookViews>
    <workbookView xWindow="0" yWindow="0" windowWidth="23040" windowHeight="8364" tabRatio="692" activeTab="4" xr2:uid="{00000000-000D-0000-FFFF-FFFF00000000}"/>
  </bookViews>
  <sheets>
    <sheet name="Caratula" sheetId="14" r:id="rId1"/>
    <sheet name="Formato 01" sheetId="8" r:id="rId2"/>
    <sheet name="Formato 02A" sheetId="17" r:id="rId3"/>
    <sheet name="Formato 02B" sheetId="20" r:id="rId4"/>
    <sheet name="Formato 03" sheetId="2" r:id="rId5"/>
    <sheet name="xxxxxxxxxx" sheetId="19" state="hidden" r:id="rId6"/>
    <sheet name="Hoja1" sheetId="15" state="hidden" r:id="rId7"/>
  </sheets>
  <definedNames>
    <definedName name="_xlnm.Print_Area" localSheetId="0">Caratula!$A$1:$L$32</definedName>
    <definedName name="_xlnm.Print_Area" localSheetId="1">'Formato 01'!$B$2:$O$11</definedName>
  </definedNames>
  <calcPr calcId="191029"/>
</workbook>
</file>

<file path=xl/calcChain.xml><?xml version="1.0" encoding="utf-8"?>
<calcChain xmlns="http://schemas.openxmlformats.org/spreadsheetml/2006/main">
  <c r="G15" i="2" l="1"/>
  <c r="I15" i="2"/>
  <c r="J13" i="2"/>
  <c r="I13" i="2"/>
  <c r="O10" i="8"/>
  <c r="N10" i="8"/>
  <c r="M10" i="8"/>
  <c r="H18" i="2" l="1"/>
  <c r="H24" i="2" s="1"/>
  <c r="H26" i="2" s="1"/>
  <c r="G18" i="2"/>
  <c r="G24" i="2" s="1"/>
  <c r="G26" i="2" s="1"/>
  <c r="H15" i="2"/>
  <c r="J15" i="2"/>
  <c r="J18" i="2" l="1"/>
  <c r="J24" i="2" s="1"/>
  <c r="J26" i="2" s="1"/>
  <c r="I18" i="2"/>
  <c r="I24" i="2" s="1"/>
  <c r="I26" i="2" s="1"/>
  <c r="J27" i="2" l="1"/>
  <c r="I27" i="2"/>
  <c r="H27" i="2"/>
  <c r="G27" i="2"/>
  <c r="K27" i="2" l="1"/>
  <c r="K13" i="2" l="1"/>
  <c r="K15" i="2" l="1"/>
  <c r="K18" i="2"/>
  <c r="K24" i="2" s="1"/>
  <c r="K26" i="2" s="1"/>
  <c r="J28" i="2"/>
  <c r="I28" i="2"/>
  <c r="K28" i="2" l="1"/>
  <c r="D7" i="2" l="1"/>
  <c r="D8" i="2"/>
  <c r="D9" i="2"/>
  <c r="D9" i="20" l="1"/>
  <c r="D8" i="20"/>
  <c r="D7" i="20"/>
  <c r="D9" i="17" l="1"/>
  <c r="D7" i="17"/>
  <c r="D8" i="17"/>
  <c r="E7" i="8"/>
  <c r="E6" i="8"/>
  <c r="E5" i="8"/>
  <c r="E3" i="19" l="1"/>
  <c r="F3" i="19" s="1"/>
  <c r="G3" i="19" s="1"/>
  <c r="E4" i="19"/>
  <c r="F4" i="19" s="1"/>
  <c r="G4" i="19" s="1"/>
  <c r="E5" i="19"/>
  <c r="F5" i="19" s="1"/>
  <c r="G5" i="19" s="1"/>
  <c r="E2" i="19"/>
  <c r="F2" i="19" s="1"/>
  <c r="G2" i="19" s="1"/>
  <c r="D3" i="19"/>
  <c r="D4" i="19"/>
  <c r="D5" i="19"/>
  <c r="D2" i="19"/>
  <c r="I19" i="14" l="1"/>
  <c r="I18" i="14" l="1"/>
  <c r="I17" i="14" l="1"/>
  <c r="K19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NILSER</author>
  </authors>
  <commentList>
    <comment ref="J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NILSER:</t>
        </r>
        <r>
          <rPr>
            <sz val="9"/>
            <color indexed="81"/>
            <rFont val="Tahoma"/>
            <family val="2"/>
          </rPr>
          <t xml:space="preserve">
RUC de la OA</t>
        </r>
      </text>
    </comment>
    <comment ref="L7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NILSER:</t>
        </r>
        <r>
          <rPr>
            <sz val="9"/>
            <color indexed="81"/>
            <rFont val="Tahoma"/>
            <family val="2"/>
          </rPr>
          <t xml:space="preserve">
según plan de Negocios</t>
        </r>
      </text>
    </comment>
    <comment ref="L8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NILSER:</t>
        </r>
        <r>
          <rPr>
            <sz val="9"/>
            <color indexed="81"/>
            <rFont val="Tahoma"/>
            <family val="2"/>
          </rPr>
          <t xml:space="preserve">
según plan de negocios</t>
        </r>
      </text>
    </comment>
    <comment ref="I13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NILSER:</t>
        </r>
        <r>
          <rPr>
            <sz val="9"/>
            <color indexed="81"/>
            <rFont val="Tahoma"/>
            <family val="2"/>
          </rPr>
          <t xml:space="preserve">
llenar según aplicativo movil o dejar en blanco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NILSER</author>
  </authors>
  <commentList>
    <comment ref="C1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NILSER:</t>
        </r>
        <r>
          <rPr>
            <sz val="9"/>
            <color indexed="81"/>
            <rFont val="Tahoma"/>
            <family val="2"/>
          </rPr>
          <t xml:space="preserve">
agregar indicadores según el Plan de ventas del PNT</t>
        </r>
      </text>
    </comment>
    <comment ref="B13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NILSER:</t>
        </r>
        <r>
          <rPr>
            <sz val="9"/>
            <color indexed="81"/>
            <rFont val="Tahoma"/>
            <family val="2"/>
          </rPr>
          <t xml:space="preserve">
según plan de produccion del PNT</t>
        </r>
      </text>
    </comment>
    <comment ref="C13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NILSER:</t>
        </r>
        <r>
          <rPr>
            <sz val="9"/>
            <color indexed="81"/>
            <rFont val="Tahoma"/>
            <family val="2"/>
          </rPr>
          <t xml:space="preserve">
según plan de ventas del PNT</t>
        </r>
      </text>
    </comment>
    <comment ref="L13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NILSER:</t>
        </r>
        <r>
          <rPr>
            <sz val="9"/>
            <color indexed="81"/>
            <rFont val="Tahoma"/>
            <family val="2"/>
          </rPr>
          <t xml:space="preserve">
Registro de produccion de campo</t>
        </r>
      </text>
    </comment>
  </commentList>
</comments>
</file>

<file path=xl/sharedStrings.xml><?xml version="1.0" encoding="utf-8"?>
<sst xmlns="http://schemas.openxmlformats.org/spreadsheetml/2006/main" count="169" uniqueCount="122">
  <si>
    <t>Provincia</t>
  </si>
  <si>
    <t>Distrito</t>
  </si>
  <si>
    <t>Firma</t>
  </si>
  <si>
    <t>POA:</t>
  </si>
  <si>
    <t>RUC:</t>
  </si>
  <si>
    <t>Plan de Negocios:</t>
  </si>
  <si>
    <t>#</t>
  </si>
  <si>
    <t>Unidad de Medida</t>
  </si>
  <si>
    <t>%</t>
  </si>
  <si>
    <t>AGROIDEAS S/.</t>
  </si>
  <si>
    <t>OPA S/.</t>
  </si>
  <si>
    <t>Especificación del Bien / Servicio</t>
  </si>
  <si>
    <t>Cantidad</t>
  </si>
  <si>
    <t>Costo Unitario S/.</t>
  </si>
  <si>
    <t>TOTAL GENERAL</t>
  </si>
  <si>
    <t>Producto o Actividad:</t>
  </si>
  <si>
    <t>Nombre OA:</t>
  </si>
  <si>
    <t>N° de Convenio:</t>
  </si>
  <si>
    <t>Periodo de Trabajo:</t>
  </si>
  <si>
    <t>Nombre de la Organización:</t>
  </si>
  <si>
    <t>Localidad</t>
  </si>
  <si>
    <t>Coordenadas Geográficas</t>
  </si>
  <si>
    <t>Latitud</t>
  </si>
  <si>
    <t>Longitud</t>
  </si>
  <si>
    <t>AGROIDEAS (S/. )</t>
  </si>
  <si>
    <t>Total (S/. )</t>
  </si>
  <si>
    <t>Representante Legal de la OA</t>
  </si>
  <si>
    <t>N° Acta de CD:</t>
  </si>
  <si>
    <t>Departamento</t>
  </si>
  <si>
    <t>N° de Socios:</t>
  </si>
  <si>
    <t>Has según PN:</t>
  </si>
  <si>
    <t>Coordinador de la UR</t>
  </si>
  <si>
    <t xml:space="preserve">CO Financiamiento </t>
  </si>
  <si>
    <t>AÑO 0</t>
  </si>
  <si>
    <t>ACTIVIDAD</t>
  </si>
  <si>
    <t>Costo Total Aprobado S/.</t>
  </si>
  <si>
    <t>PARTICIPACIÓN PRESUPUESTAL</t>
  </si>
  <si>
    <t>PRESUPUESTO APROBADO EN EL PLAN DE NEGOCIO</t>
  </si>
  <si>
    <t>OA (S/. )</t>
  </si>
  <si>
    <t>dj HASTA K GRADO DE CCONSANGUIEDAD</t>
  </si>
  <si>
    <t>PC1</t>
  </si>
  <si>
    <t>PC2</t>
  </si>
  <si>
    <t>INFORMACIÓN GENERAL DEL PLAN DE NEGOCIO</t>
  </si>
  <si>
    <t>Jefatura de la UM</t>
  </si>
  <si>
    <t>FORMATO 01 - PLAN DE ADQUISICIONES DE EQUIPOS, INSUMOS Y SERVICIOS</t>
  </si>
  <si>
    <t>12 meses</t>
  </si>
  <si>
    <t>Fecha de Inicio</t>
  </si>
  <si>
    <t>Fecha de Fin</t>
  </si>
  <si>
    <t>GEOREFERENCIACIÓN DEL PLAN DE NEGOCIO</t>
  </si>
  <si>
    <t>MEDIO DE VERIFICACIÓN</t>
  </si>
  <si>
    <t>UNIDAD DE MEDIDA</t>
  </si>
  <si>
    <t>IMPACTO AMBIENTAL</t>
  </si>
  <si>
    <t>LINEA BASE</t>
  </si>
  <si>
    <t>META</t>
  </si>
  <si>
    <t>INFORMACIÓN GENERAL DEL PLAN OPERATIVO DEL PLAN DE NEGOCIOS DE ADOPCIÓN DE TECNOLOGÍA</t>
  </si>
  <si>
    <t>Nombre del Plan de Negocios:</t>
  </si>
  <si>
    <t xml:space="preserve">PLAN DE COFINANCIAMIENTO </t>
  </si>
  <si>
    <t xml:space="preserve">CRONOGRAMA DE EJECUCIÓN </t>
  </si>
  <si>
    <t>PC 01</t>
  </si>
  <si>
    <t>PC 02</t>
  </si>
  <si>
    <t>FORMATO 03 - INDICADORES DE SEGUIMIENTO Y MONITOREO DEL PLAN DE NEGOCIO</t>
  </si>
  <si>
    <t>OBJETIVO ESPECÍFICO</t>
  </si>
  <si>
    <t>META PN</t>
  </si>
  <si>
    <t>(3 años)</t>
  </si>
  <si>
    <t>META DEL POA</t>
  </si>
  <si>
    <t>Acumulado</t>
  </si>
  <si>
    <t>METAS DEL POA POR 
PASO CRÍTICO</t>
  </si>
  <si>
    <t>Porcentaje de Cofinanciamiento</t>
  </si>
  <si>
    <t>NOTA:
Los indicadores del presente formato, deberán estar expuestos y claramente sustentados dentro de los RTFs, así mismo, deberán estar directamente alineados a los indicadores del PNT.</t>
  </si>
  <si>
    <t>PASO CRÍTICO</t>
  </si>
  <si>
    <t>PRODUCTIVIDAD</t>
  </si>
  <si>
    <t>Objetivo Especifico / Actividad</t>
  </si>
  <si>
    <t>OBJETIVO ESPECIFICO</t>
  </si>
  <si>
    <t>INDICADOR</t>
  </si>
  <si>
    <t xml:space="preserve"> </t>
  </si>
  <si>
    <t>TIPO</t>
  </si>
  <si>
    <t>TOTAL QQ</t>
  </si>
  <si>
    <t>QQ/HA</t>
  </si>
  <si>
    <t>HA</t>
  </si>
  <si>
    <t>KG/HA</t>
  </si>
  <si>
    <t>TOTAL KG</t>
  </si>
  <si>
    <t>TOTAL t</t>
  </si>
  <si>
    <t>JORNALES</t>
  </si>
  <si>
    <t>Puno</t>
  </si>
  <si>
    <t>FORMATO 02A - PROGRAMACIÓN  FÍSICA DE ACTIVIDADES POR PASO CRITICO</t>
  </si>
  <si>
    <t>FORMATO 02B - PROGRAMACIÓN FINANCIERA DE ACTIVIDADES POR PASO CRITICO</t>
  </si>
  <si>
    <t>Equipamiento para la realización de labores culturales oportunas</t>
  </si>
  <si>
    <t xml:space="preserve">Actas de Asistencia del personal </t>
  </si>
  <si>
    <t>Actas de registro de producción</t>
  </si>
  <si>
    <t>Jornales (N° de Jornales Año)</t>
  </si>
  <si>
    <t>Comprobantes de Venta</t>
  </si>
  <si>
    <t>Ingreso total (S/.)</t>
  </si>
  <si>
    <t>100-2023</t>
  </si>
  <si>
    <t>ASOCIACION DE PRODUCTORES AGROPECUARIOS MICROCUENCA NORTE RIO NUÑOA</t>
  </si>
  <si>
    <t>MEJORAMIENTO DEL MANEJO PRUDUCTIVO DE LA ALPACA</t>
  </si>
  <si>
    <t xml:space="preserve">Melgar </t>
  </si>
  <si>
    <t>Nuñoa</t>
  </si>
  <si>
    <t>Carabaya</t>
  </si>
  <si>
    <t>Fecha y Hora : 28/04/2025 05:20 p.m.</t>
  </si>
  <si>
    <t>Engorde y 
venta de alpacas en Pie</t>
  </si>
  <si>
    <t>Numero Cabezas (alpacas)</t>
  </si>
  <si>
    <t xml:space="preserve">Kg/Cabeza </t>
  </si>
  <si>
    <t>PRODUCCIÓN (Alpacas en engorde - peso inicial)</t>
  </si>
  <si>
    <t>Total / año</t>
  </si>
  <si>
    <t xml:space="preserve">Periodo de engorde/Días </t>
  </si>
  <si>
    <t>Rendimiento esperado en Kg/día</t>
  </si>
  <si>
    <t>PRODUCCIÓN (Alpacas en engorde - peso final)</t>
  </si>
  <si>
    <t>INGRESOS POR PESO CARCASA</t>
  </si>
  <si>
    <t>Animal en Pie (Kg) - Peso Carcasa</t>
  </si>
  <si>
    <t>Precio por Kg/S</t>
  </si>
  <si>
    <t xml:space="preserve">Ampliación de la oferta forralera Ha </t>
  </si>
  <si>
    <t>Costos de Producción S/ / alpaca</t>
  </si>
  <si>
    <t>Reducir el porcentaje de Motalidad al año</t>
  </si>
  <si>
    <t>Abonamiento de los campos de pastoreo con estiércol de las alpacas</t>
  </si>
  <si>
    <t>Informe de verificación</t>
  </si>
  <si>
    <t xml:space="preserve">Manejo y conservación de pastos naturañes </t>
  </si>
  <si>
    <t>012-2025-
MIDAGRI-AGROIDEAS</t>
  </si>
  <si>
    <t>02//10/2027</t>
  </si>
  <si>
    <t>POA 3</t>
  </si>
  <si>
    <t xml:space="preserve">POA 3: Presupuesto S/. </t>
  </si>
  <si>
    <t>TERCER POA</t>
  </si>
  <si>
    <t>Incremento del periodo (kg/alpaca)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</si>
</sst>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&quot;S/.&quot;\ * #,##0.00_ ;_ &quot;S/.&quot;\ * \-#,##0.00_ ;_ &quot;S/.&quot;\ * &quot;-&quot;??_ ;_ @_ "/>
  </numFmts>
  <fonts count="27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16"/>
      <color rgb="FF365838"/>
      <name val="Arial"/>
      <family val="2"/>
    </font>
    <font>
      <b/>
      <sz val="9"/>
      <color rgb="FF365838"/>
      <name val="Arial"/>
      <family val="2"/>
    </font>
    <font>
      <sz val="9"/>
      <color rgb="FF000000"/>
      <name val="Arial"/>
      <family val="2"/>
    </font>
    <font>
      <b/>
      <sz val="8"/>
      <color rgb="FFFFFFFF"/>
      <name val="Arial"/>
      <family val="2"/>
    </font>
    <font>
      <b/>
      <sz val="7"/>
      <color rgb="FFFFFFFF"/>
      <name val="Arial"/>
      <family val="2"/>
    </font>
    <font>
      <sz val="9"/>
      <name val="Calibri"/>
      <family val="2"/>
    </font>
    <font>
      <b/>
      <sz val="9"/>
      <color rgb="FFFFFFFF"/>
      <name val="Arial"/>
      <family val="2"/>
    </font>
    <font>
      <sz val="8"/>
      <name val="Calibri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name val="Calibri"/>
      <family val="2"/>
    </font>
    <font>
      <b/>
      <sz val="12"/>
      <color rgb="FF365838"/>
      <name val="Arial"/>
      <family val="2"/>
    </font>
    <font>
      <b/>
      <sz val="7"/>
      <color rgb="FF000000"/>
      <name val="Arial"/>
      <family val="2"/>
    </font>
    <font>
      <b/>
      <u/>
      <sz val="9"/>
      <name val="Calibri"/>
      <family val="2"/>
    </font>
    <font>
      <sz val="8"/>
      <name val="Arial"/>
      <family val="2"/>
    </font>
    <font>
      <b/>
      <sz val="11"/>
      <color rgb="FF365838"/>
      <name val="Arial"/>
      <family val="2"/>
    </font>
    <font>
      <b/>
      <sz val="14"/>
      <color rgb="FF36583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rgb="FF000000"/>
      <name val="Arial Narrow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E8B57"/>
        <bgColor rgb="FF2E8B57"/>
      </patternFill>
    </fill>
    <fill>
      <patternFill patternType="solid">
        <fgColor rgb="FF92D050"/>
        <bgColor rgb="FF3CB371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rgb="FF2E8B57"/>
      </patternFill>
    </fill>
    <fill>
      <patternFill patternType="solid">
        <fgColor rgb="FFFFFF00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009900"/>
        <bgColor indexed="64"/>
      </patternFill>
    </fill>
  </fills>
  <borders count="49">
    <border>
      <left/>
      <right/>
      <top/>
      <bottom/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00B050"/>
      </left>
      <right/>
      <top style="thin">
        <color rgb="FF00B050"/>
      </top>
      <bottom style="thin">
        <color rgb="FF00B050"/>
      </bottom>
      <diagonal/>
    </border>
    <border>
      <left/>
      <right/>
      <top style="thin">
        <color rgb="FF00B050"/>
      </top>
      <bottom style="thin">
        <color rgb="FF00B050"/>
      </bottom>
      <diagonal/>
    </border>
    <border>
      <left/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00B050"/>
      </left>
      <right/>
      <top style="thin">
        <color rgb="FF00B050"/>
      </top>
      <bottom/>
      <diagonal/>
    </border>
    <border>
      <left/>
      <right/>
      <top style="thin">
        <color rgb="FF00B050"/>
      </top>
      <bottom/>
      <diagonal/>
    </border>
    <border>
      <left/>
      <right style="thin">
        <color rgb="FF00B050"/>
      </right>
      <top style="thin">
        <color rgb="FF00B050"/>
      </top>
      <bottom/>
      <diagonal/>
    </border>
    <border>
      <left style="thin">
        <color rgb="FF00B050"/>
      </left>
      <right/>
      <top/>
      <bottom/>
      <diagonal/>
    </border>
    <border>
      <left/>
      <right style="thin">
        <color rgb="FF00B050"/>
      </right>
      <top/>
      <bottom/>
      <diagonal/>
    </border>
    <border>
      <left style="thin">
        <color rgb="FF00B050"/>
      </left>
      <right/>
      <top/>
      <bottom style="thin">
        <color rgb="FF00B050"/>
      </bottom>
      <diagonal/>
    </border>
    <border>
      <left/>
      <right/>
      <top/>
      <bottom style="thin">
        <color rgb="FF00B050"/>
      </bottom>
      <diagonal/>
    </border>
    <border>
      <left/>
      <right style="thin">
        <color rgb="FF00B050"/>
      </right>
      <top/>
      <bottom style="thin">
        <color rgb="FF00B050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/>
      <diagonal/>
    </border>
    <border>
      <left style="thin">
        <color rgb="FF00B050"/>
      </left>
      <right style="thin">
        <color rgb="FF00B050"/>
      </right>
      <top/>
      <bottom style="thin">
        <color rgb="FF00B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B050"/>
      </right>
      <top style="thin">
        <color rgb="FF00B050"/>
      </top>
      <bottom style="medium">
        <color indexed="64"/>
      </bottom>
      <diagonal/>
    </border>
    <border>
      <left style="thin">
        <color rgb="FF00B050"/>
      </left>
      <right style="medium">
        <color indexed="64"/>
      </right>
      <top style="thin">
        <color rgb="FF00B05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B050"/>
      </right>
      <top style="medium">
        <color indexed="64"/>
      </top>
      <bottom style="thin">
        <color rgb="FF00B050"/>
      </bottom>
      <diagonal/>
    </border>
    <border>
      <left style="thin">
        <color rgb="FF00B050"/>
      </left>
      <right style="medium">
        <color indexed="64"/>
      </right>
      <top style="medium">
        <color indexed="64"/>
      </top>
      <bottom style="thin">
        <color rgb="FF00B05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00B050"/>
      </left>
      <right style="thin">
        <color rgb="FF00B050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B05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70"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11" fillId="0" borderId="0" xfId="0" applyFont="1"/>
    <xf numFmtId="0" fontId="3" fillId="0" borderId="0" xfId="0" applyFont="1" applyAlignment="1">
      <alignment horizontal="left" vertical="center"/>
    </xf>
    <xf numFmtId="0" fontId="12" fillId="2" borderId="1" xfId="0" applyFont="1" applyFill="1" applyBorder="1" applyAlignment="1">
      <alignment horizontal="center" vertical="center" wrapText="1" readingOrder="1"/>
    </xf>
    <xf numFmtId="0" fontId="10" fillId="2" borderId="1" xfId="0" applyFont="1" applyFill="1" applyBorder="1" applyAlignment="1">
      <alignment horizontal="center" vertical="center" wrapText="1" readingOrder="1"/>
    </xf>
    <xf numFmtId="164" fontId="4" fillId="3" borderId="1" xfId="0" applyNumberFormat="1" applyFont="1" applyFill="1" applyBorder="1" applyAlignment="1">
      <alignment horizontal="center" vertical="center" wrapText="1" readingOrder="1"/>
    </xf>
    <xf numFmtId="0" fontId="13" fillId="0" borderId="0" xfId="0" applyFont="1" applyAlignment="1">
      <alignment horizontal="center" vertical="center"/>
    </xf>
    <xf numFmtId="0" fontId="2" fillId="0" borderId="0" xfId="1"/>
    <xf numFmtId="0" fontId="3" fillId="0" borderId="0" xfId="0" applyFont="1" applyAlignment="1">
      <alignment readingOrder="1"/>
    </xf>
    <xf numFmtId="0" fontId="13" fillId="0" borderId="0" xfId="0" applyFont="1"/>
    <xf numFmtId="0" fontId="1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 readingOrder="1"/>
    </xf>
    <xf numFmtId="0" fontId="5" fillId="0" borderId="0" xfId="0" applyFont="1" applyAlignment="1">
      <alignment vertical="center" wrapText="1" readingOrder="1"/>
    </xf>
    <xf numFmtId="0" fontId="3" fillId="0" borderId="0" xfId="0" applyFont="1" applyAlignment="1">
      <alignment vertical="center" wrapText="1"/>
    </xf>
    <xf numFmtId="0" fontId="12" fillId="2" borderId="14" xfId="0" applyFont="1" applyFill="1" applyBorder="1" applyAlignment="1">
      <alignment horizontal="center" vertical="center" wrapText="1" readingOrder="1"/>
    </xf>
    <xf numFmtId="0" fontId="5" fillId="0" borderId="0" xfId="0" applyFont="1" applyAlignment="1">
      <alignment horizontal="left" vertical="center" wrapText="1" readingOrder="1"/>
    </xf>
    <xf numFmtId="0" fontId="8" fillId="0" borderId="0" xfId="0" applyFont="1" applyAlignment="1">
      <alignment horizontal="left" vertical="top" wrapText="1" readingOrder="1"/>
    </xf>
    <xf numFmtId="0" fontId="19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 vertical="top" wrapText="1" readingOrder="1"/>
    </xf>
    <xf numFmtId="0" fontId="3" fillId="0" borderId="0" xfId="0" applyFont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 readingOrder="1"/>
    </xf>
    <xf numFmtId="9" fontId="4" fillId="3" borderId="1" xfId="0" applyNumberFormat="1" applyFont="1" applyFill="1" applyBorder="1" applyAlignment="1">
      <alignment horizontal="center" vertical="center" wrapText="1" readingOrder="1"/>
    </xf>
    <xf numFmtId="0" fontId="8" fillId="0" borderId="0" xfId="0" applyFont="1" applyAlignment="1">
      <alignment vertical="top" wrapText="1" readingOrder="1"/>
    </xf>
    <xf numFmtId="0" fontId="14" fillId="4" borderId="4" xfId="1" quotePrefix="1" applyFont="1" applyFill="1" applyBorder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4" fillId="4" borderId="1" xfId="1" applyFont="1" applyFill="1" applyBorder="1" applyAlignment="1">
      <alignment horizontal="center" vertical="center"/>
    </xf>
    <xf numFmtId="0" fontId="15" fillId="4" borderId="4" xfId="1" quotePrefix="1" applyFont="1" applyFill="1" applyBorder="1" applyAlignment="1">
      <alignment horizontal="left" vertical="center"/>
    </xf>
    <xf numFmtId="0" fontId="13" fillId="4" borderId="0" xfId="0" applyFont="1" applyFill="1"/>
    <xf numFmtId="0" fontId="19" fillId="4" borderId="0" xfId="0" applyFont="1" applyFill="1" applyAlignment="1">
      <alignment horizontal="left" vertical="center"/>
    </xf>
    <xf numFmtId="0" fontId="15" fillId="4" borderId="4" xfId="1" applyFont="1" applyFill="1" applyBorder="1" applyAlignment="1">
      <alignment horizontal="center" vertical="center"/>
    </xf>
    <xf numFmtId="0" fontId="16" fillId="4" borderId="0" xfId="0" applyFont="1" applyFill="1" applyAlignment="1">
      <alignment vertical="center"/>
    </xf>
    <xf numFmtId="10" fontId="15" fillId="4" borderId="1" xfId="1" applyNumberFormat="1" applyFont="1" applyFill="1" applyBorder="1" applyAlignment="1">
      <alignment horizontal="center" vertical="center"/>
    </xf>
    <xf numFmtId="10" fontId="14" fillId="4" borderId="1" xfId="1" applyNumberFormat="1" applyFont="1" applyFill="1" applyBorder="1" applyAlignment="1">
      <alignment horizontal="center" vertical="center"/>
    </xf>
    <xf numFmtId="0" fontId="16" fillId="4" borderId="15" xfId="0" applyFont="1" applyFill="1" applyBorder="1" applyAlignment="1">
      <alignment horizontal="center" vertical="center"/>
    </xf>
    <xf numFmtId="0" fontId="15" fillId="4" borderId="0" xfId="1" applyFont="1" applyFill="1" applyAlignment="1">
      <alignment horizontal="center" vertical="center"/>
    </xf>
    <xf numFmtId="17" fontId="14" fillId="4" borderId="0" xfId="1" applyNumberFormat="1" applyFont="1" applyFill="1" applyAlignment="1">
      <alignment horizontal="center" vertical="center"/>
    </xf>
    <xf numFmtId="0" fontId="14" fillId="4" borderId="0" xfId="1" quotePrefix="1" applyFont="1" applyFill="1" applyAlignment="1">
      <alignment horizontal="center" vertical="center"/>
    </xf>
    <xf numFmtId="0" fontId="14" fillId="4" borderId="0" xfId="1" applyFont="1" applyFill="1" applyAlignment="1">
      <alignment horizontal="center" vertical="center"/>
    </xf>
    <xf numFmtId="0" fontId="15" fillId="4" borderId="0" xfId="1" applyFont="1" applyFill="1" applyAlignment="1">
      <alignment horizontal="left" vertical="center"/>
    </xf>
    <xf numFmtId="4" fontId="15" fillId="4" borderId="0" xfId="1" applyNumberFormat="1" applyFont="1" applyFill="1" applyAlignment="1">
      <alignment horizontal="center" vertical="center"/>
    </xf>
    <xf numFmtId="10" fontId="15" fillId="4" borderId="0" xfId="1" applyNumberFormat="1" applyFont="1" applyFill="1" applyAlignment="1">
      <alignment horizontal="center" vertical="center"/>
    </xf>
    <xf numFmtId="0" fontId="14" fillId="4" borderId="5" xfId="1" applyFont="1" applyFill="1" applyBorder="1" applyAlignment="1">
      <alignment horizontal="center" vertical="center"/>
    </xf>
    <xf numFmtId="0" fontId="14" fillId="4" borderId="6" xfId="1" applyFont="1" applyFill="1" applyBorder="1" applyAlignment="1">
      <alignment horizontal="center" vertical="center"/>
    </xf>
    <xf numFmtId="0" fontId="14" fillId="4" borderId="7" xfId="1" applyFont="1" applyFill="1" applyBorder="1" applyAlignment="1">
      <alignment horizontal="center" vertical="center"/>
    </xf>
    <xf numFmtId="0" fontId="14" fillId="4" borderId="8" xfId="1" applyFont="1" applyFill="1" applyBorder="1" applyAlignment="1">
      <alignment horizontal="center" vertical="center"/>
    </xf>
    <xf numFmtId="0" fontId="14" fillId="4" borderId="9" xfId="1" applyFont="1" applyFill="1" applyBorder="1" applyAlignment="1">
      <alignment horizontal="center" vertical="center"/>
    </xf>
    <xf numFmtId="0" fontId="14" fillId="4" borderId="10" xfId="1" applyFont="1" applyFill="1" applyBorder="1" applyAlignment="1">
      <alignment horizontal="center" vertical="center"/>
    </xf>
    <xf numFmtId="0" fontId="14" fillId="4" borderId="11" xfId="1" applyFont="1" applyFill="1" applyBorder="1" applyAlignment="1">
      <alignment horizontal="center" vertical="center"/>
    </xf>
    <xf numFmtId="0" fontId="14" fillId="4" borderId="12" xfId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top" wrapText="1" readingOrder="1"/>
    </xf>
    <xf numFmtId="0" fontId="9" fillId="2" borderId="1" xfId="0" applyFont="1" applyFill="1" applyBorder="1" applyAlignment="1">
      <alignment horizontal="center" vertical="center" wrapText="1" readingOrder="1"/>
    </xf>
    <xf numFmtId="0" fontId="9" fillId="2" borderId="13" xfId="0" applyFont="1" applyFill="1" applyBorder="1" applyAlignment="1">
      <alignment horizontal="center" vertical="center" wrapText="1" readingOrder="1"/>
    </xf>
    <xf numFmtId="0" fontId="5" fillId="0" borderId="28" xfId="0" applyFont="1" applyBorder="1" applyAlignment="1">
      <alignment horizontal="center" vertical="center" wrapText="1" readingOrder="1"/>
    </xf>
    <xf numFmtId="0" fontId="5" fillId="0" borderId="29" xfId="0" applyFont="1" applyBorder="1" applyAlignment="1">
      <alignment horizontal="center" vertical="center" wrapText="1" readingOrder="1"/>
    </xf>
    <xf numFmtId="4" fontId="5" fillId="4" borderId="15" xfId="0" applyNumberFormat="1" applyFont="1" applyFill="1" applyBorder="1" applyAlignment="1">
      <alignment horizontal="center" vertical="center" wrapText="1" readingOrder="1"/>
    </xf>
    <xf numFmtId="0" fontId="5" fillId="0" borderId="21" xfId="0" applyFont="1" applyBorder="1" applyAlignment="1">
      <alignment vertical="center" wrapText="1" readingOrder="1"/>
    </xf>
    <xf numFmtId="0" fontId="5" fillId="0" borderId="31" xfId="0" applyFont="1" applyBorder="1" applyAlignment="1">
      <alignment vertical="center" wrapText="1" readingOrder="1"/>
    </xf>
    <xf numFmtId="4" fontId="5" fillId="4" borderId="32" xfId="0" applyNumberFormat="1" applyFont="1" applyFill="1" applyBorder="1" applyAlignment="1">
      <alignment horizontal="center" vertical="center" wrapText="1" readingOrder="1"/>
    </xf>
    <xf numFmtId="0" fontId="5" fillId="4" borderId="33" xfId="0" applyFont="1" applyFill="1" applyBorder="1" applyAlignment="1">
      <alignment horizontal="center" vertical="center" wrapText="1" readingOrder="1"/>
    </xf>
    <xf numFmtId="4" fontId="5" fillId="4" borderId="33" xfId="0" applyNumberFormat="1" applyFont="1" applyFill="1" applyBorder="1" applyAlignment="1">
      <alignment horizontal="center" vertical="center" wrapText="1" readingOrder="1"/>
    </xf>
    <xf numFmtId="0" fontId="5" fillId="4" borderId="34" xfId="0" applyFont="1" applyFill="1" applyBorder="1" applyAlignment="1">
      <alignment horizontal="left" vertical="center" wrapText="1" readingOrder="1"/>
    </xf>
    <xf numFmtId="0" fontId="5" fillId="4" borderId="35" xfId="0" applyFont="1" applyFill="1" applyBorder="1" applyAlignment="1">
      <alignment horizontal="left" vertical="center" wrapText="1" readingOrder="1"/>
    </xf>
    <xf numFmtId="0" fontId="5" fillId="0" borderId="36" xfId="0" applyFont="1" applyBorder="1" applyAlignment="1">
      <alignment horizontal="center" vertical="center" wrapText="1" readingOrder="1"/>
    </xf>
    <xf numFmtId="0" fontId="5" fillId="4" borderId="17" xfId="0" applyFont="1" applyFill="1" applyBorder="1" applyAlignment="1">
      <alignment horizontal="left" vertical="center" wrapText="1" readingOrder="1"/>
    </xf>
    <xf numFmtId="0" fontId="5" fillId="4" borderId="37" xfId="0" applyFont="1" applyFill="1" applyBorder="1" applyAlignment="1">
      <alignment horizontal="center" vertical="center" wrapText="1" readingOrder="1"/>
    </xf>
    <xf numFmtId="0" fontId="5" fillId="4" borderId="39" xfId="0" applyFont="1" applyFill="1" applyBorder="1" applyAlignment="1">
      <alignment horizontal="left" vertical="center" wrapText="1" readingOrder="1"/>
    </xf>
    <xf numFmtId="0" fontId="5" fillId="0" borderId="15" xfId="0" applyFont="1" applyBorder="1" applyAlignment="1">
      <alignment horizontal="center" vertical="center" wrapText="1" readingOrder="1"/>
    </xf>
    <xf numFmtId="2" fontId="5" fillId="0" borderId="38" xfId="0" applyNumberFormat="1" applyFont="1" applyBorder="1" applyAlignment="1">
      <alignment horizontal="center" vertical="center" wrapText="1" readingOrder="1"/>
    </xf>
    <xf numFmtId="0" fontId="5" fillId="4" borderId="32" xfId="0" applyFont="1" applyFill="1" applyBorder="1" applyAlignment="1">
      <alignment horizontal="center" vertical="center" wrapText="1" readingOrder="1"/>
    </xf>
    <xf numFmtId="17" fontId="3" fillId="8" borderId="40" xfId="0" applyNumberFormat="1" applyFont="1" applyFill="1" applyBorder="1"/>
    <xf numFmtId="0" fontId="14" fillId="0" borderId="44" xfId="0" applyFont="1" applyBorder="1" applyAlignment="1">
      <alignment horizontal="center" vertical="center" wrapText="1" readingOrder="1"/>
    </xf>
    <xf numFmtId="4" fontId="5" fillId="4" borderId="44" xfId="0" applyNumberFormat="1" applyFont="1" applyFill="1" applyBorder="1" applyAlignment="1">
      <alignment horizontal="center" vertical="center" wrapText="1" readingOrder="1"/>
    </xf>
    <xf numFmtId="0" fontId="14" fillId="4" borderId="1" xfId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5" fillId="0" borderId="29" xfId="0" applyFont="1" applyBorder="1" applyAlignment="1">
      <alignment horizontal="center" vertical="center" wrapText="1" readingOrder="1"/>
    </xf>
    <xf numFmtId="0" fontId="5" fillId="4" borderId="41" xfId="0" applyFont="1" applyFill="1" applyBorder="1" applyAlignment="1">
      <alignment horizontal="center" vertical="center" wrapText="1" readingOrder="1"/>
    </xf>
    <xf numFmtId="0" fontId="5" fillId="6" borderId="38" xfId="0" applyFont="1" applyFill="1" applyBorder="1" applyAlignment="1">
      <alignment horizontal="center" vertical="center" wrapText="1" readingOrder="1"/>
    </xf>
    <xf numFmtId="0" fontId="5" fillId="4" borderId="48" xfId="0" applyFont="1" applyFill="1" applyBorder="1" applyAlignment="1">
      <alignment horizontal="center" vertical="center" wrapText="1" readingOrder="1"/>
    </xf>
    <xf numFmtId="9" fontId="5" fillId="4" borderId="32" xfId="0" applyNumberFormat="1" applyFont="1" applyFill="1" applyBorder="1" applyAlignment="1">
      <alignment horizontal="center" vertical="center" wrapText="1" readingOrder="1"/>
    </xf>
    <xf numFmtId="9" fontId="5" fillId="0" borderId="42" xfId="0" applyNumberFormat="1" applyFont="1" applyBorder="1" applyAlignment="1">
      <alignment horizontal="center" vertical="center" wrapText="1" readingOrder="1"/>
    </xf>
    <xf numFmtId="9" fontId="5" fillId="0" borderId="32" xfId="0" applyNumberFormat="1" applyFont="1" applyBorder="1" applyAlignment="1">
      <alignment horizontal="center" vertical="center" wrapText="1" readingOrder="1"/>
    </xf>
    <xf numFmtId="0" fontId="15" fillId="4" borderId="2" xfId="1" applyFont="1" applyFill="1" applyBorder="1" applyAlignment="1">
      <alignment horizontal="center" vertical="center"/>
    </xf>
    <xf numFmtId="0" fontId="15" fillId="4" borderId="3" xfId="1" applyFont="1" applyFill="1" applyBorder="1" applyAlignment="1">
      <alignment horizontal="center" vertical="center"/>
    </xf>
    <xf numFmtId="0" fontId="15" fillId="4" borderId="4" xfId="1" applyFont="1" applyFill="1" applyBorder="1" applyAlignment="1">
      <alignment horizontal="center" vertical="center"/>
    </xf>
    <xf numFmtId="0" fontId="15" fillId="4" borderId="2" xfId="1" applyFont="1" applyFill="1" applyBorder="1" applyAlignment="1">
      <alignment horizontal="left" vertical="center"/>
    </xf>
    <xf numFmtId="0" fontId="15" fillId="4" borderId="4" xfId="1" applyFont="1" applyFill="1" applyBorder="1" applyAlignment="1">
      <alignment horizontal="left" vertical="center"/>
    </xf>
    <xf numFmtId="0" fontId="15" fillId="4" borderId="2" xfId="1" applyFont="1" applyFill="1" applyBorder="1" applyAlignment="1">
      <alignment horizontal="center" vertical="center" wrapText="1"/>
    </xf>
    <xf numFmtId="0" fontId="15" fillId="4" borderId="3" xfId="1" applyFont="1" applyFill="1" applyBorder="1" applyAlignment="1">
      <alignment horizontal="center" vertical="center" wrapText="1"/>
    </xf>
    <xf numFmtId="0" fontId="15" fillId="4" borderId="4" xfId="1" applyFont="1" applyFill="1" applyBorder="1" applyAlignment="1">
      <alignment horizontal="center" vertical="center" wrapText="1"/>
    </xf>
    <xf numFmtId="0" fontId="20" fillId="4" borderId="2" xfId="1" applyFont="1" applyFill="1" applyBorder="1" applyAlignment="1">
      <alignment horizontal="center" vertical="center" wrapText="1"/>
    </xf>
    <xf numFmtId="0" fontId="20" fillId="4" borderId="3" xfId="1" applyFont="1" applyFill="1" applyBorder="1" applyAlignment="1">
      <alignment horizontal="center" vertical="center" wrapText="1"/>
    </xf>
    <xf numFmtId="0" fontId="20" fillId="4" borderId="4" xfId="1" applyFont="1" applyFill="1" applyBorder="1" applyAlignment="1">
      <alignment horizontal="center" vertical="center" wrapText="1"/>
    </xf>
    <xf numFmtId="0" fontId="15" fillId="6" borderId="1" xfId="1" applyFont="1" applyFill="1" applyBorder="1" applyAlignment="1">
      <alignment horizontal="center" vertical="center"/>
    </xf>
    <xf numFmtId="0" fontId="15" fillId="4" borderId="5" xfId="1" applyFont="1" applyFill="1" applyBorder="1" applyAlignment="1">
      <alignment horizontal="center" vertical="center"/>
    </xf>
    <xf numFmtId="0" fontId="15" fillId="4" borderId="7" xfId="1" applyFont="1" applyFill="1" applyBorder="1" applyAlignment="1">
      <alignment horizontal="center" vertical="center"/>
    </xf>
    <xf numFmtId="0" fontId="15" fillId="4" borderId="3" xfId="1" applyFont="1" applyFill="1" applyBorder="1" applyAlignment="1">
      <alignment horizontal="left" vertical="center"/>
    </xf>
    <xf numFmtId="0" fontId="15" fillId="4" borderId="1" xfId="1" applyFont="1" applyFill="1" applyBorder="1" applyAlignment="1">
      <alignment horizontal="center" vertical="center"/>
    </xf>
    <xf numFmtId="14" fontId="14" fillId="4" borderId="15" xfId="1" applyNumberFormat="1" applyFont="1" applyFill="1" applyBorder="1" applyAlignment="1">
      <alignment horizontal="center" vertical="center"/>
    </xf>
    <xf numFmtId="0" fontId="14" fillId="6" borderId="1" xfId="1" applyFont="1" applyFill="1" applyBorder="1" applyAlignment="1">
      <alignment horizontal="center" vertical="center"/>
    </xf>
    <xf numFmtId="0" fontId="14" fillId="4" borderId="1" xfId="1" applyFont="1" applyFill="1" applyBorder="1" applyAlignment="1">
      <alignment horizontal="center" vertical="center" wrapText="1"/>
    </xf>
    <xf numFmtId="0" fontId="14" fillId="4" borderId="1" xfId="1" applyFont="1" applyFill="1" applyBorder="1" applyAlignment="1">
      <alignment horizontal="center" vertical="center"/>
    </xf>
    <xf numFmtId="4" fontId="14" fillId="4" borderId="2" xfId="1" applyNumberFormat="1" applyFont="1" applyFill="1" applyBorder="1" applyAlignment="1">
      <alignment horizontal="center" vertical="center"/>
    </xf>
    <xf numFmtId="4" fontId="14" fillId="4" borderId="4" xfId="1" applyNumberFormat="1" applyFont="1" applyFill="1" applyBorder="1" applyAlignment="1">
      <alignment horizontal="center" vertical="center"/>
    </xf>
    <xf numFmtId="4" fontId="15" fillId="4" borderId="2" xfId="1" applyNumberFormat="1" applyFont="1" applyFill="1" applyBorder="1" applyAlignment="1">
      <alignment horizontal="center" vertical="center"/>
    </xf>
    <xf numFmtId="4" fontId="15" fillId="4" borderId="4" xfId="1" applyNumberFormat="1" applyFont="1" applyFill="1" applyBorder="1" applyAlignment="1">
      <alignment horizontal="center" vertical="center"/>
    </xf>
    <xf numFmtId="0" fontId="14" fillId="4" borderId="2" xfId="1" applyFont="1" applyFill="1" applyBorder="1" applyAlignment="1">
      <alignment horizontal="center" vertical="center"/>
    </xf>
    <xf numFmtId="0" fontId="14" fillId="4" borderId="4" xfId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 wrapText="1" readingOrder="1"/>
    </xf>
    <xf numFmtId="0" fontId="16" fillId="4" borderId="15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 readingOrder="1"/>
    </xf>
    <xf numFmtId="0" fontId="7" fillId="0" borderId="0" xfId="0" applyFont="1" applyAlignment="1">
      <alignment horizontal="left" vertical="center" wrapText="1" readingOrder="1"/>
    </xf>
    <xf numFmtId="0" fontId="8" fillId="0" borderId="0" xfId="0" applyFont="1" applyAlignment="1">
      <alignment horizontal="left" vertical="center" wrapText="1" readingOrder="1"/>
    </xf>
    <xf numFmtId="0" fontId="12" fillId="2" borderId="0" xfId="0" applyFont="1" applyFill="1" applyAlignment="1">
      <alignment horizontal="center" vertical="center" wrapText="1" readingOrder="1"/>
    </xf>
    <xf numFmtId="0" fontId="12" fillId="2" borderId="9" xfId="0" applyFont="1" applyFill="1" applyBorder="1" applyAlignment="1">
      <alignment horizontal="center" vertical="center" wrapText="1" readingOrder="1"/>
    </xf>
    <xf numFmtId="0" fontId="12" fillId="2" borderId="11" xfId="0" applyFont="1" applyFill="1" applyBorder="1" applyAlignment="1">
      <alignment horizontal="center" vertical="center" wrapText="1" readingOrder="1"/>
    </xf>
    <xf numFmtId="0" fontId="12" fillId="2" borderId="12" xfId="0" applyFont="1" applyFill="1" applyBorder="1" applyAlignment="1">
      <alignment horizontal="center" vertical="center" wrapText="1" readingOrder="1"/>
    </xf>
    <xf numFmtId="0" fontId="12" fillId="2" borderId="10" xfId="0" applyFont="1" applyFill="1" applyBorder="1" applyAlignment="1">
      <alignment horizontal="center" vertical="center" wrapText="1" readingOrder="1"/>
    </xf>
    <xf numFmtId="0" fontId="4" fillId="3" borderId="5" xfId="0" applyFont="1" applyFill="1" applyBorder="1" applyAlignment="1">
      <alignment horizontal="center" vertical="center" wrapText="1" readingOrder="1"/>
    </xf>
    <xf numFmtId="0" fontId="4" fillId="3" borderId="6" xfId="0" applyFont="1" applyFill="1" applyBorder="1" applyAlignment="1">
      <alignment horizontal="center" vertical="center" wrapText="1" readingOrder="1"/>
    </xf>
    <xf numFmtId="0" fontId="4" fillId="3" borderId="7" xfId="0" applyFont="1" applyFill="1" applyBorder="1" applyAlignment="1">
      <alignment horizontal="center" vertical="center" wrapText="1" readingOrder="1"/>
    </xf>
    <xf numFmtId="0" fontId="4" fillId="3" borderId="10" xfId="0" applyFont="1" applyFill="1" applyBorder="1" applyAlignment="1">
      <alignment horizontal="center" vertical="center" wrapText="1" readingOrder="1"/>
    </xf>
    <xf numFmtId="0" fontId="4" fillId="3" borderId="11" xfId="0" applyFont="1" applyFill="1" applyBorder="1" applyAlignment="1">
      <alignment horizontal="center" vertical="center" wrapText="1" readingOrder="1"/>
    </xf>
    <xf numFmtId="0" fontId="4" fillId="3" borderId="12" xfId="0" applyFont="1" applyFill="1" applyBorder="1" applyAlignment="1">
      <alignment horizontal="center" vertical="center" wrapText="1" readingOrder="1"/>
    </xf>
    <xf numFmtId="0" fontId="3" fillId="0" borderId="0" xfId="0" applyFont="1"/>
    <xf numFmtId="0" fontId="7" fillId="0" borderId="0" xfId="0" applyFont="1" applyAlignment="1">
      <alignment vertical="center" wrapText="1" readingOrder="1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 wrapText="1" readingOrder="1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 readingOrder="1"/>
    </xf>
    <xf numFmtId="0" fontId="9" fillId="2" borderId="18" xfId="0" applyFont="1" applyFill="1" applyBorder="1" applyAlignment="1">
      <alignment horizontal="center" vertical="center" wrapText="1" readingOrder="1"/>
    </xf>
    <xf numFmtId="0" fontId="9" fillId="2" borderId="21" xfId="0" applyFont="1" applyFill="1" applyBorder="1" applyAlignment="1">
      <alignment horizontal="center" vertical="center" wrapText="1" readingOrder="1"/>
    </xf>
    <xf numFmtId="0" fontId="9" fillId="2" borderId="22" xfId="0" applyFont="1" applyFill="1" applyBorder="1" applyAlignment="1">
      <alignment horizontal="center" vertical="center" wrapText="1" readingOrder="1"/>
    </xf>
    <xf numFmtId="0" fontId="9" fillId="2" borderId="23" xfId="0" applyFont="1" applyFill="1" applyBorder="1" applyAlignment="1">
      <alignment horizontal="center" vertical="center" wrapText="1" readingOrder="1"/>
    </xf>
    <xf numFmtId="0" fontId="9" fillId="2" borderId="24" xfId="0" applyFont="1" applyFill="1" applyBorder="1" applyAlignment="1">
      <alignment horizontal="center" vertical="center" wrapText="1" readingOrder="1"/>
    </xf>
    <xf numFmtId="0" fontId="7" fillId="0" borderId="0" xfId="0" applyFont="1" applyAlignment="1">
      <alignment vertical="top" wrapText="1" readingOrder="1"/>
    </xf>
    <xf numFmtId="0" fontId="22" fillId="0" borderId="0" xfId="0" applyFont="1" applyAlignment="1">
      <alignment horizontal="left" vertical="center" wrapText="1" readingOrder="1"/>
    </xf>
    <xf numFmtId="0" fontId="8" fillId="0" borderId="0" xfId="0" applyFont="1" applyAlignment="1">
      <alignment horizontal="left" vertical="top" wrapText="1" readingOrder="1"/>
    </xf>
    <xf numFmtId="0" fontId="7" fillId="0" borderId="0" xfId="0" applyFont="1" applyAlignment="1">
      <alignment horizontal="left" vertical="top" wrapText="1" readingOrder="1"/>
    </xf>
    <xf numFmtId="0" fontId="9" fillId="5" borderId="18" xfId="0" applyFont="1" applyFill="1" applyBorder="1" applyAlignment="1">
      <alignment horizontal="center" vertical="center" wrapText="1" readingOrder="1"/>
    </xf>
    <xf numFmtId="0" fontId="9" fillId="5" borderId="21" xfId="0" applyFont="1" applyFill="1" applyBorder="1" applyAlignment="1">
      <alignment horizontal="center" vertical="center" wrapText="1" readingOrder="1"/>
    </xf>
    <xf numFmtId="0" fontId="9" fillId="2" borderId="19" xfId="0" applyFont="1" applyFill="1" applyBorder="1" applyAlignment="1">
      <alignment horizontal="center" vertical="center" wrapText="1" readingOrder="1"/>
    </xf>
    <xf numFmtId="0" fontId="9" fillId="2" borderId="20" xfId="0" applyFont="1" applyFill="1" applyBorder="1" applyAlignment="1">
      <alignment horizontal="center" vertical="center" wrapText="1" readingOrder="1"/>
    </xf>
    <xf numFmtId="0" fontId="9" fillId="2" borderId="16" xfId="0" applyFont="1" applyFill="1" applyBorder="1" applyAlignment="1">
      <alignment horizontal="center" vertical="center" wrapText="1" readingOrder="1"/>
    </xf>
    <xf numFmtId="0" fontId="9" fillId="2" borderId="17" xfId="0" applyFont="1" applyFill="1" applyBorder="1" applyAlignment="1">
      <alignment horizontal="center" vertical="center" wrapText="1" readingOrder="1"/>
    </xf>
    <xf numFmtId="0" fontId="18" fillId="0" borderId="25" xfId="0" applyFont="1" applyBorder="1" applyAlignment="1">
      <alignment horizontal="left" vertical="center" wrapText="1" readingOrder="1"/>
    </xf>
    <xf numFmtId="0" fontId="21" fillId="0" borderId="0" xfId="0" applyFont="1" applyAlignment="1">
      <alignment horizontal="left" vertical="center" wrapText="1" readingOrder="1"/>
    </xf>
    <xf numFmtId="0" fontId="8" fillId="0" borderId="11" xfId="0" applyFont="1" applyBorder="1" applyAlignment="1">
      <alignment horizontal="left" vertical="center" wrapText="1" readingOrder="1"/>
    </xf>
    <xf numFmtId="0" fontId="5" fillId="4" borderId="43" xfId="0" applyFont="1" applyFill="1" applyBorder="1" applyAlignment="1">
      <alignment horizontal="center" vertical="center" wrapText="1" readingOrder="1"/>
    </xf>
    <xf numFmtId="0" fontId="5" fillId="4" borderId="41" xfId="0" applyFont="1" applyFill="1" applyBorder="1" applyAlignment="1">
      <alignment horizontal="center" vertical="center" wrapText="1" readingOrder="1"/>
    </xf>
    <xf numFmtId="0" fontId="5" fillId="4" borderId="45" xfId="0" applyFont="1" applyFill="1" applyBorder="1" applyAlignment="1">
      <alignment horizontal="center" vertical="center" wrapText="1" readingOrder="1"/>
    </xf>
    <xf numFmtId="0" fontId="18" fillId="0" borderId="0" xfId="0" applyFont="1" applyAlignment="1">
      <alignment horizontal="left" vertical="center" wrapText="1" readingOrder="1"/>
    </xf>
    <xf numFmtId="0" fontId="9" fillId="2" borderId="13" xfId="0" applyFont="1" applyFill="1" applyBorder="1" applyAlignment="1">
      <alignment horizontal="center" vertical="center" wrapText="1" readingOrder="1"/>
    </xf>
    <xf numFmtId="0" fontId="9" fillId="2" borderId="26" xfId="0" applyFont="1" applyFill="1" applyBorder="1" applyAlignment="1">
      <alignment horizontal="center" vertical="center" wrapText="1" readingOrder="1"/>
    </xf>
    <xf numFmtId="0" fontId="25" fillId="7" borderId="22" xfId="0" applyFont="1" applyFill="1" applyBorder="1" applyAlignment="1">
      <alignment horizontal="center" vertical="center" wrapText="1"/>
    </xf>
    <xf numFmtId="0" fontId="25" fillId="7" borderId="24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 readingOrder="1"/>
    </xf>
    <xf numFmtId="0" fontId="9" fillId="2" borderId="3" xfId="0" applyFont="1" applyFill="1" applyBorder="1" applyAlignment="1">
      <alignment horizontal="center" vertical="center" wrapText="1" readingOrder="1"/>
    </xf>
    <xf numFmtId="0" fontId="9" fillId="2" borderId="5" xfId="0" applyFont="1" applyFill="1" applyBorder="1" applyAlignment="1">
      <alignment horizontal="center" vertical="center" wrapText="1" readingOrder="1"/>
    </xf>
    <xf numFmtId="0" fontId="9" fillId="2" borderId="7" xfId="0" applyFont="1" applyFill="1" applyBorder="1" applyAlignment="1">
      <alignment horizontal="center" vertical="center" wrapText="1" readingOrder="1"/>
    </xf>
    <xf numFmtId="0" fontId="9" fillId="2" borderId="8" xfId="0" applyFont="1" applyFill="1" applyBorder="1" applyAlignment="1">
      <alignment horizontal="center" vertical="center" wrapText="1" readingOrder="1"/>
    </xf>
    <xf numFmtId="0" fontId="9" fillId="2" borderId="9" xfId="0" applyFont="1" applyFill="1" applyBorder="1" applyAlignment="1">
      <alignment horizontal="center" vertical="center" wrapText="1" readingOrder="1"/>
    </xf>
    <xf numFmtId="0" fontId="5" fillId="4" borderId="46" xfId="0" applyFont="1" applyFill="1" applyBorder="1" applyAlignment="1">
      <alignment horizontal="center" vertical="center" wrapText="1" readingOrder="1"/>
    </xf>
    <xf numFmtId="0" fontId="5" fillId="4" borderId="47" xfId="0" applyFont="1" applyFill="1" applyBorder="1" applyAlignment="1">
      <alignment horizontal="center" vertical="center" wrapText="1" readingOrder="1"/>
    </xf>
    <xf numFmtId="0" fontId="25" fillId="7" borderId="28" xfId="0" applyFont="1" applyFill="1" applyBorder="1" applyAlignment="1">
      <alignment horizontal="center" vertical="center" wrapText="1"/>
    </xf>
    <xf numFmtId="0" fontId="25" fillId="7" borderId="27" xfId="0" applyFont="1" applyFill="1" applyBorder="1" applyAlignment="1">
      <alignment horizontal="center" vertical="center" wrapText="1"/>
    </xf>
    <xf numFmtId="0" fontId="25" fillId="7" borderId="29" xfId="0" applyFont="1" applyFill="1" applyBorder="1" applyAlignment="1">
      <alignment horizontal="center" vertical="center" wrapText="1"/>
    </xf>
    <xf numFmtId="0" fontId="25" fillId="7" borderId="30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2000000}"/>
    <cellStyle name="Normal 9" xfId="2" xr:uid="{00000000-0005-0000-0000-000003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365838"/>
      <rgbColor rgb="00D3D3D3"/>
      <rgbColor rgb="002E8B57"/>
      <rgbColor rgb="00808080"/>
      <rgbColor rgb="00FFFFFF"/>
      <rgbColor rgb="0066CDAA"/>
      <rgbColor rgb="0090EE90"/>
      <rgbColor rgb="00A3CBA3"/>
      <rgbColor rgb="00A9A9A9"/>
      <rgbColor rgb="0032CD32"/>
      <rgbColor rgb="003CB371"/>
      <rgbColor rgb="004A7349"/>
      <rgbColor rgb="00008080"/>
      <rgbColor rgb="00C0C0C0"/>
      <rgbColor rgb="0000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295274</xdr:colOff>
      <xdr:row>0</xdr:row>
      <xdr:rowOff>57150</xdr:rowOff>
    </xdr:from>
    <xdr:to>
      <xdr:col>1</xdr:col>
      <xdr:colOff>590550</xdr:colOff>
      <xdr:row>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95274" y="57150"/>
          <a:ext cx="1057276" cy="5429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76200</xdr:rowOff>
    </xdr:from>
    <xdr:to>
      <xdr:col>8</xdr:col>
      <xdr:colOff>682625</xdr:colOff>
      <xdr:row>1</xdr:row>
      <xdr:rowOff>79375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76200"/>
          <a:ext cx="3749675" cy="3937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126999</xdr:colOff>
      <xdr:row>2</xdr:row>
      <xdr:rowOff>0</xdr:rowOff>
    </xdr:from>
    <xdr:to>
      <xdr:col>4</xdr:col>
      <xdr:colOff>1047750</xdr:colOff>
      <xdr:row>3</xdr:row>
      <xdr:rowOff>2117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6999" y="52917"/>
          <a:ext cx="2931584" cy="3937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126999</xdr:colOff>
      <xdr:row>2</xdr:row>
      <xdr:rowOff>0</xdr:rowOff>
    </xdr:from>
    <xdr:to>
      <xdr:col>4</xdr:col>
      <xdr:colOff>1047750</xdr:colOff>
      <xdr:row>3</xdr:row>
      <xdr:rowOff>2117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6999" y="47625"/>
          <a:ext cx="2797176" cy="39264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3</xdr:col>
      <xdr:colOff>2463800</xdr:colOff>
      <xdr:row>2</xdr:row>
      <xdr:rowOff>393700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L42"/>
  <sheetViews>
    <sheetView showGridLines="0" zoomScale="90" zoomScaleNormal="90" workbookViewId="0">
      <selection activeCell="I18" sqref="I18:J18"/>
    </sheetView>
  </sheetViews>
  <sheetFormatPr baseColWidth="10" defaultRowHeight="14.4" x14ac:dyDescent="0.3"/>
  <cols>
    <col min="2" max="2" width="16.33203125" customWidth="1"/>
    <col min="3" max="3" width="11.44140625" customWidth="1"/>
    <col min="4" max="4" width="12.33203125" customWidth="1"/>
    <col min="5" max="5" width="11.44140625" customWidth="1"/>
    <col min="6" max="6" width="15.5546875" customWidth="1"/>
    <col min="7" max="7" width="13.109375" customWidth="1"/>
    <col min="8" max="8" width="6.88671875" customWidth="1"/>
    <col min="9" max="9" width="13.88671875" customWidth="1"/>
    <col min="10" max="10" width="12.109375" customWidth="1"/>
    <col min="11" max="11" width="14.88671875" bestFit="1" customWidth="1"/>
    <col min="12" max="12" width="9.5546875" customWidth="1"/>
  </cols>
  <sheetData>
    <row r="2" spans="1:12" ht="30.75" customHeight="1" x14ac:dyDescent="0.3">
      <c r="A2" s="9"/>
      <c r="B2" s="9"/>
      <c r="C2" s="110" t="s">
        <v>54</v>
      </c>
      <c r="D2" s="110"/>
      <c r="E2" s="110"/>
      <c r="F2" s="110"/>
      <c r="G2" s="110"/>
      <c r="H2" s="110"/>
      <c r="I2" s="110"/>
      <c r="J2" s="110"/>
      <c r="K2" s="110"/>
      <c r="L2" s="110"/>
    </row>
    <row r="3" spans="1:12" ht="9" customHeight="1" x14ac:dyDescent="0.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4" spans="1:12" ht="22.5" customHeight="1" x14ac:dyDescent="0.3">
      <c r="A4" s="19" t="s">
        <v>42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 spans="1:12" s="8" customFormat="1" ht="21.75" customHeight="1" x14ac:dyDescent="0.3">
      <c r="A5" s="99" t="s">
        <v>17</v>
      </c>
      <c r="B5" s="99"/>
      <c r="C5" s="89" t="s">
        <v>116</v>
      </c>
      <c r="D5" s="86"/>
      <c r="E5" s="84" t="s">
        <v>27</v>
      </c>
      <c r="F5" s="86"/>
      <c r="G5" s="26" t="s">
        <v>92</v>
      </c>
      <c r="H5" s="99" t="s">
        <v>18</v>
      </c>
      <c r="I5" s="99"/>
      <c r="J5" s="103" t="s">
        <v>45</v>
      </c>
      <c r="K5" s="103"/>
      <c r="L5" s="103"/>
    </row>
    <row r="6" spans="1:12" s="8" customFormat="1" ht="12" customHeight="1" x14ac:dyDescent="0.3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</row>
    <row r="7" spans="1:12" s="8" customFormat="1" ht="32.25" customHeight="1" x14ac:dyDescent="0.3">
      <c r="A7" s="87" t="s">
        <v>19</v>
      </c>
      <c r="B7" s="98"/>
      <c r="C7" s="89" t="s">
        <v>93</v>
      </c>
      <c r="D7" s="90"/>
      <c r="E7" s="90"/>
      <c r="F7" s="90"/>
      <c r="G7" s="91"/>
      <c r="H7" s="87" t="s">
        <v>4</v>
      </c>
      <c r="I7" s="88"/>
      <c r="J7" s="28">
        <v>20448433316</v>
      </c>
      <c r="K7" s="29" t="s">
        <v>29</v>
      </c>
      <c r="L7" s="26">
        <v>27</v>
      </c>
    </row>
    <row r="8" spans="1:12" s="8" customFormat="1" ht="45.75" customHeight="1" x14ac:dyDescent="0.3">
      <c r="A8" s="87" t="s">
        <v>55</v>
      </c>
      <c r="B8" s="98"/>
      <c r="C8" s="92" t="s">
        <v>94</v>
      </c>
      <c r="D8" s="93"/>
      <c r="E8" s="93"/>
      <c r="F8" s="93"/>
      <c r="G8" s="94"/>
      <c r="H8" s="87" t="s">
        <v>15</v>
      </c>
      <c r="I8" s="88"/>
      <c r="J8" s="75" t="s">
        <v>99</v>
      </c>
      <c r="K8" s="29" t="s">
        <v>30</v>
      </c>
      <c r="L8" s="26">
        <v>2360.21</v>
      </c>
    </row>
    <row r="9" spans="1:12" s="11" customFormat="1" ht="12" customHeight="1" x14ac:dyDescent="0.2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</row>
    <row r="10" spans="1:12" s="11" customFormat="1" ht="18.75" customHeight="1" x14ac:dyDescent="0.2">
      <c r="A10" s="31" t="s">
        <v>48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</row>
    <row r="11" spans="1:12" s="8" customFormat="1" ht="17.25" customHeight="1" x14ac:dyDescent="0.3">
      <c r="A11" s="99" t="s">
        <v>28</v>
      </c>
      <c r="B11" s="99"/>
      <c r="C11" s="99" t="s">
        <v>0</v>
      </c>
      <c r="D11" s="99"/>
      <c r="E11" s="99" t="s">
        <v>1</v>
      </c>
      <c r="F11" s="99"/>
      <c r="G11" s="32" t="s">
        <v>20</v>
      </c>
      <c r="H11" s="27"/>
      <c r="I11" s="95" t="s">
        <v>21</v>
      </c>
      <c r="J11" s="95"/>
      <c r="K11" s="95"/>
      <c r="L11" s="95"/>
    </row>
    <row r="12" spans="1:12" s="8" customFormat="1" ht="11.25" customHeight="1" x14ac:dyDescent="0.3">
      <c r="A12" s="103" t="s">
        <v>83</v>
      </c>
      <c r="B12" s="103"/>
      <c r="C12" s="103" t="s">
        <v>95</v>
      </c>
      <c r="D12" s="103"/>
      <c r="E12" s="103" t="s">
        <v>96</v>
      </c>
      <c r="F12" s="103"/>
      <c r="G12" s="102" t="s">
        <v>97</v>
      </c>
      <c r="H12" s="27"/>
      <c r="I12" s="95" t="s">
        <v>22</v>
      </c>
      <c r="J12" s="95"/>
      <c r="K12" s="95" t="s">
        <v>23</v>
      </c>
      <c r="L12" s="95"/>
    </row>
    <row r="13" spans="1:12" s="8" customFormat="1" ht="14.25" customHeight="1" x14ac:dyDescent="0.3">
      <c r="A13" s="103"/>
      <c r="B13" s="103"/>
      <c r="C13" s="103"/>
      <c r="D13" s="103"/>
      <c r="E13" s="103"/>
      <c r="F13" s="103"/>
      <c r="G13" s="102"/>
      <c r="H13" s="27"/>
      <c r="I13" s="101"/>
      <c r="J13" s="101"/>
      <c r="K13" s="101"/>
      <c r="L13" s="101"/>
    </row>
    <row r="14" spans="1:12" s="8" customFormat="1" ht="12" customHeight="1" x14ac:dyDescent="0.3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</row>
    <row r="15" spans="1:12" s="8" customFormat="1" ht="20.25" customHeight="1" x14ac:dyDescent="0.3">
      <c r="A15" s="31" t="s">
        <v>57</v>
      </c>
      <c r="B15" s="27"/>
      <c r="C15" s="27"/>
      <c r="D15" s="27"/>
      <c r="E15" s="27"/>
      <c r="F15" s="27"/>
      <c r="G15" s="31" t="s">
        <v>56</v>
      </c>
      <c r="H15" s="27"/>
      <c r="I15" s="27"/>
      <c r="J15" s="27"/>
      <c r="K15" s="27"/>
      <c r="L15" s="27"/>
    </row>
    <row r="16" spans="1:12" s="8" customFormat="1" ht="15.75" customHeight="1" x14ac:dyDescent="0.3">
      <c r="A16" s="27"/>
      <c r="B16" s="111" t="s">
        <v>118</v>
      </c>
      <c r="C16" s="111"/>
      <c r="D16" s="111"/>
      <c r="E16" s="111"/>
      <c r="F16" s="33"/>
      <c r="G16" s="96" t="s">
        <v>32</v>
      </c>
      <c r="H16" s="97"/>
      <c r="I16" s="84" t="s">
        <v>119</v>
      </c>
      <c r="J16" s="86"/>
      <c r="K16" s="34" t="s">
        <v>8</v>
      </c>
      <c r="L16" s="27"/>
    </row>
    <row r="17" spans="1:12" s="8" customFormat="1" ht="18.75" customHeight="1" x14ac:dyDescent="0.3">
      <c r="A17" s="27"/>
      <c r="B17" s="111" t="s">
        <v>46</v>
      </c>
      <c r="C17" s="111"/>
      <c r="D17" s="111" t="s">
        <v>47</v>
      </c>
      <c r="E17" s="111"/>
      <c r="F17" s="33"/>
      <c r="G17" s="108" t="s">
        <v>24</v>
      </c>
      <c r="H17" s="109"/>
      <c r="I17" s="104">
        <f>I19*K17</f>
        <v>0</v>
      </c>
      <c r="J17" s="105"/>
      <c r="K17" s="35">
        <v>0.8</v>
      </c>
      <c r="L17" s="27"/>
    </row>
    <row r="18" spans="1:12" s="8" customFormat="1" ht="19.5" customHeight="1" x14ac:dyDescent="0.3">
      <c r="A18" s="36" t="s">
        <v>40</v>
      </c>
      <c r="B18" s="100">
        <v>46479</v>
      </c>
      <c r="C18" s="100"/>
      <c r="D18" s="100" t="s">
        <v>117</v>
      </c>
      <c r="E18" s="100"/>
      <c r="F18" s="33"/>
      <c r="G18" s="108" t="s">
        <v>38</v>
      </c>
      <c r="H18" s="109"/>
      <c r="I18" s="104">
        <f>I19*K18</f>
        <v>0</v>
      </c>
      <c r="J18" s="105"/>
      <c r="K18" s="35">
        <v>0.2</v>
      </c>
      <c r="L18" s="27"/>
    </row>
    <row r="19" spans="1:12" s="8" customFormat="1" ht="19.5" customHeight="1" x14ac:dyDescent="0.3">
      <c r="A19" s="36" t="s">
        <v>41</v>
      </c>
      <c r="B19" s="100">
        <v>46663</v>
      </c>
      <c r="C19" s="100"/>
      <c r="D19" s="100">
        <v>46845</v>
      </c>
      <c r="E19" s="100"/>
      <c r="F19" s="33"/>
      <c r="G19" s="84" t="s">
        <v>25</v>
      </c>
      <c r="H19" s="86"/>
      <c r="I19" s="106">
        <f>'Formato 01'!M10</f>
        <v>0</v>
      </c>
      <c r="J19" s="107"/>
      <c r="K19" s="34">
        <f>SUM(K17:K18)</f>
        <v>1</v>
      </c>
      <c r="L19" s="27"/>
    </row>
    <row r="20" spans="1:12" s="8" customFormat="1" ht="6.75" customHeight="1" x14ac:dyDescent="0.3">
      <c r="A20" s="37"/>
      <c r="B20" s="37"/>
      <c r="C20" s="37"/>
      <c r="D20" s="38"/>
      <c r="E20" s="37"/>
      <c r="F20" s="37"/>
      <c r="G20" s="38"/>
      <c r="H20" s="37"/>
      <c r="I20" s="37"/>
      <c r="J20" s="39"/>
      <c r="K20" s="27"/>
      <c r="L20" s="40"/>
    </row>
    <row r="21" spans="1:12" s="8" customFormat="1" ht="19.5" customHeight="1" x14ac:dyDescent="0.3">
      <c r="A21" s="41"/>
      <c r="B21" s="37"/>
      <c r="C21" s="42"/>
      <c r="D21" s="42"/>
      <c r="E21" s="42"/>
      <c r="F21" s="42"/>
      <c r="G21" s="42"/>
      <c r="H21" s="42"/>
      <c r="I21" s="42"/>
      <c r="J21" s="43"/>
      <c r="K21" s="27"/>
      <c r="L21" s="27"/>
    </row>
    <row r="22" spans="1:12" s="8" customFormat="1" ht="10.5" customHeight="1" x14ac:dyDescent="0.3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s="12" customFormat="1" ht="18.75" customHeight="1" x14ac:dyDescent="0.3">
      <c r="A23" s="84" t="s">
        <v>26</v>
      </c>
      <c r="B23" s="85"/>
      <c r="C23" s="85"/>
      <c r="D23" s="86"/>
      <c r="E23" s="84" t="s">
        <v>31</v>
      </c>
      <c r="F23" s="85"/>
      <c r="G23" s="85"/>
      <c r="H23" s="86"/>
      <c r="I23" s="84" t="s">
        <v>43</v>
      </c>
      <c r="J23" s="85"/>
      <c r="K23" s="85"/>
      <c r="L23" s="86"/>
    </row>
    <row r="24" spans="1:12" s="8" customFormat="1" ht="10.199999999999999" x14ac:dyDescent="0.3">
      <c r="A24" s="44"/>
      <c r="B24" s="45"/>
      <c r="C24" s="45"/>
      <c r="D24" s="46"/>
      <c r="E24" s="44"/>
      <c r="F24" s="45"/>
      <c r="G24" s="45"/>
      <c r="H24" s="46"/>
      <c r="I24" s="44"/>
      <c r="J24" s="45"/>
      <c r="K24" s="45"/>
      <c r="L24" s="46"/>
    </row>
    <row r="25" spans="1:12" s="8" customFormat="1" ht="10.199999999999999" x14ac:dyDescent="0.3">
      <c r="A25" s="47"/>
      <c r="B25" s="40"/>
      <c r="C25" s="40"/>
      <c r="D25" s="48"/>
      <c r="E25" s="47"/>
      <c r="F25" s="40"/>
      <c r="G25" s="40"/>
      <c r="H25" s="48"/>
      <c r="I25" s="47"/>
      <c r="J25" s="40"/>
      <c r="K25" s="40"/>
      <c r="L25" s="48"/>
    </row>
    <row r="26" spans="1:12" s="8" customFormat="1" ht="10.199999999999999" x14ac:dyDescent="0.3">
      <c r="A26" s="47"/>
      <c r="B26" s="40"/>
      <c r="C26" s="40"/>
      <c r="D26" s="48"/>
      <c r="E26" s="47"/>
      <c r="F26" s="40"/>
      <c r="G26" s="40"/>
      <c r="H26" s="48"/>
      <c r="I26" s="47"/>
      <c r="J26" s="40"/>
      <c r="K26" s="40"/>
      <c r="L26" s="48"/>
    </row>
    <row r="27" spans="1:12" s="8" customFormat="1" ht="10.199999999999999" x14ac:dyDescent="0.3">
      <c r="A27" s="47"/>
      <c r="B27" s="40"/>
      <c r="C27" s="40"/>
      <c r="D27" s="48"/>
      <c r="E27" s="47"/>
      <c r="F27" s="40"/>
      <c r="G27" s="40"/>
      <c r="H27" s="48"/>
      <c r="I27" s="47"/>
      <c r="J27" s="40"/>
      <c r="K27" s="40"/>
      <c r="L27" s="48"/>
    </row>
    <row r="28" spans="1:12" s="8" customFormat="1" ht="10.199999999999999" x14ac:dyDescent="0.3">
      <c r="A28" s="47"/>
      <c r="B28" s="40"/>
      <c r="C28" s="40"/>
      <c r="D28" s="48"/>
      <c r="E28" s="47"/>
      <c r="F28" s="40"/>
      <c r="G28" s="40"/>
      <c r="H28" s="48"/>
      <c r="I28" s="47"/>
      <c r="J28" s="40"/>
      <c r="K28" s="40"/>
      <c r="L28" s="48"/>
    </row>
    <row r="29" spans="1:12" s="8" customFormat="1" ht="10.199999999999999" x14ac:dyDescent="0.3">
      <c r="A29" s="47"/>
      <c r="B29" s="40"/>
      <c r="C29" s="40"/>
      <c r="D29" s="48"/>
      <c r="E29" s="47"/>
      <c r="F29" s="40"/>
      <c r="G29" s="40"/>
      <c r="H29" s="48"/>
      <c r="I29" s="47"/>
      <c r="J29" s="40"/>
      <c r="K29" s="40"/>
      <c r="L29" s="48"/>
    </row>
    <row r="30" spans="1:12" s="8" customFormat="1" ht="10.199999999999999" x14ac:dyDescent="0.3">
      <c r="A30" s="47"/>
      <c r="B30" s="40"/>
      <c r="C30" s="40"/>
      <c r="D30" s="48"/>
      <c r="E30" s="47"/>
      <c r="F30" s="40"/>
      <c r="G30" s="40"/>
      <c r="H30" s="48"/>
      <c r="I30" s="47"/>
      <c r="J30" s="40"/>
      <c r="K30" s="40"/>
      <c r="L30" s="48"/>
    </row>
    <row r="31" spans="1:12" s="8" customFormat="1" ht="10.199999999999999" x14ac:dyDescent="0.3">
      <c r="A31" s="49"/>
      <c r="B31" s="50"/>
      <c r="C31" s="50"/>
      <c r="D31" s="51"/>
      <c r="E31" s="49"/>
      <c r="F31" s="50"/>
      <c r="G31" s="50"/>
      <c r="H31" s="51"/>
      <c r="I31" s="49"/>
      <c r="J31" s="50"/>
      <c r="K31" s="50"/>
      <c r="L31" s="51"/>
    </row>
    <row r="32" spans="1:12" s="12" customFormat="1" ht="15.75" customHeight="1" x14ac:dyDescent="0.3">
      <c r="A32" s="84" t="s">
        <v>2</v>
      </c>
      <c r="B32" s="85"/>
      <c r="C32" s="85"/>
      <c r="D32" s="86"/>
      <c r="E32" s="84" t="s">
        <v>2</v>
      </c>
      <c r="F32" s="85"/>
      <c r="G32" s="85"/>
      <c r="H32" s="86"/>
      <c r="I32" s="84" t="s">
        <v>2</v>
      </c>
      <c r="J32" s="85"/>
      <c r="K32" s="85"/>
      <c r="L32" s="86"/>
    </row>
    <row r="33" spans="8:12" ht="7.5" customHeight="1" x14ac:dyDescent="0.3"/>
    <row r="34" spans="8:12" x14ac:dyDescent="0.3">
      <c r="H34" s="8"/>
      <c r="I34" s="8"/>
      <c r="J34" s="8"/>
      <c r="K34" s="8"/>
      <c r="L34" s="8"/>
    </row>
    <row r="35" spans="8:12" x14ac:dyDescent="0.3">
      <c r="H35" s="8"/>
      <c r="I35" s="8"/>
      <c r="J35" s="8"/>
      <c r="K35" s="8"/>
      <c r="L35" s="8"/>
    </row>
    <row r="36" spans="8:12" x14ac:dyDescent="0.3">
      <c r="H36" s="8"/>
      <c r="I36" s="8"/>
      <c r="J36" s="8"/>
      <c r="K36" s="8"/>
      <c r="L36" s="8"/>
    </row>
    <row r="37" spans="8:12" x14ac:dyDescent="0.3">
      <c r="H37" s="8"/>
      <c r="I37" s="8"/>
      <c r="J37" s="8"/>
      <c r="K37" s="8"/>
      <c r="L37" s="8"/>
    </row>
    <row r="38" spans="8:12" x14ac:dyDescent="0.3">
      <c r="H38" s="8"/>
      <c r="I38" s="8"/>
      <c r="J38" s="8"/>
      <c r="K38" s="8"/>
      <c r="L38" s="8"/>
    </row>
    <row r="39" spans="8:12" x14ac:dyDescent="0.3">
      <c r="H39" s="8"/>
      <c r="I39" s="8"/>
      <c r="J39" s="8"/>
      <c r="K39" s="8"/>
      <c r="L39" s="8"/>
    </row>
    <row r="40" spans="8:12" x14ac:dyDescent="0.3">
      <c r="H40" s="8"/>
      <c r="I40" s="8"/>
      <c r="J40" s="8"/>
      <c r="K40" s="8"/>
      <c r="L40" s="8"/>
    </row>
    <row r="41" spans="8:12" x14ac:dyDescent="0.3">
      <c r="H41" s="8"/>
      <c r="I41" s="8"/>
      <c r="J41" s="8"/>
      <c r="K41" s="8"/>
      <c r="L41" s="8"/>
    </row>
    <row r="42" spans="8:12" x14ac:dyDescent="0.3">
      <c r="H42" s="8"/>
      <c r="I42" s="8"/>
      <c r="J42" s="8"/>
      <c r="K42" s="8"/>
      <c r="L42" s="8"/>
    </row>
  </sheetData>
  <mergeCells count="45">
    <mergeCell ref="C2:L2"/>
    <mergeCell ref="B17:C17"/>
    <mergeCell ref="D17:E17"/>
    <mergeCell ref="B16:E16"/>
    <mergeCell ref="B18:C18"/>
    <mergeCell ref="K13:L13"/>
    <mergeCell ref="G17:H17"/>
    <mergeCell ref="E11:F11"/>
    <mergeCell ref="A12:B13"/>
    <mergeCell ref="C12:D13"/>
    <mergeCell ref="E12:F13"/>
    <mergeCell ref="E5:F5"/>
    <mergeCell ref="C5:D5"/>
    <mergeCell ref="B19:C19"/>
    <mergeCell ref="D18:E18"/>
    <mergeCell ref="D19:E19"/>
    <mergeCell ref="H5:I5"/>
    <mergeCell ref="I13:J13"/>
    <mergeCell ref="A11:B11"/>
    <mergeCell ref="G12:G13"/>
    <mergeCell ref="I12:J12"/>
    <mergeCell ref="I11:L11"/>
    <mergeCell ref="J5:L5"/>
    <mergeCell ref="A5:B5"/>
    <mergeCell ref="G19:H19"/>
    <mergeCell ref="I17:J17"/>
    <mergeCell ref="I18:J18"/>
    <mergeCell ref="I19:J19"/>
    <mergeCell ref="G18:H18"/>
    <mergeCell ref="A32:D32"/>
    <mergeCell ref="E32:H32"/>
    <mergeCell ref="I32:L32"/>
    <mergeCell ref="H7:I7"/>
    <mergeCell ref="H8:I8"/>
    <mergeCell ref="C7:G7"/>
    <mergeCell ref="C8:G8"/>
    <mergeCell ref="K12:L12"/>
    <mergeCell ref="I16:J16"/>
    <mergeCell ref="E23:H23"/>
    <mergeCell ref="I23:L23"/>
    <mergeCell ref="A23:D23"/>
    <mergeCell ref="G16:H16"/>
    <mergeCell ref="A7:B7"/>
    <mergeCell ref="A8:B8"/>
    <mergeCell ref="C11:D11"/>
  </mergeCells>
  <pageMargins left="0.31496062992125984" right="0" top="0.35433070866141736" bottom="0" header="0.31496062992125984" footer="0.31496062992125984"/>
  <pageSetup paperSize="9" scale="96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P15"/>
  <sheetViews>
    <sheetView showGridLines="0" topLeftCell="J1" zoomScaleNormal="100" zoomScalePageLayoutView="90" workbookViewId="0">
      <selection activeCell="P11" sqref="P11"/>
    </sheetView>
  </sheetViews>
  <sheetFormatPr baseColWidth="10" defaultRowHeight="14.4" x14ac:dyDescent="0.3"/>
  <cols>
    <col min="1" max="1" width="1.33203125" customWidth="1"/>
    <col min="2" max="2" width="0.109375" customWidth="1"/>
    <col min="3" max="3" width="4.44140625" customWidth="1"/>
    <col min="4" max="4" width="12.44140625" customWidth="1"/>
    <col min="5" max="5" width="1.5546875" customWidth="1"/>
    <col min="6" max="6" width="9.6640625" customWidth="1"/>
    <col min="7" max="7" width="7.33203125" customWidth="1"/>
    <col min="8" max="8" width="8.44140625" customWidth="1"/>
    <col min="9" max="9" width="40" customWidth="1"/>
    <col min="10" max="10" width="11.88671875" style="2" customWidth="1"/>
    <col min="11" max="11" width="10.5546875" style="2" customWidth="1"/>
    <col min="12" max="12" width="11.33203125" style="2" customWidth="1"/>
    <col min="13" max="13" width="15.88671875" style="2" customWidth="1"/>
    <col min="14" max="14" width="17.33203125" style="2" customWidth="1"/>
    <col min="15" max="15" width="18.5546875" style="2" customWidth="1"/>
    <col min="16" max="16" width="16.33203125" style="20" customWidth="1"/>
  </cols>
  <sheetData>
    <row r="1" spans="2:16" ht="31.2" customHeight="1" x14ac:dyDescent="0.3">
      <c r="C1" s="126"/>
      <c r="D1" s="126"/>
      <c r="E1" s="126"/>
      <c r="F1" s="126"/>
      <c r="G1" s="126"/>
    </row>
    <row r="2" spans="2:16" ht="11.25" customHeight="1" x14ac:dyDescent="0.3"/>
    <row r="3" spans="2:16" ht="24" customHeight="1" x14ac:dyDescent="0.3">
      <c r="C3" s="131" t="s">
        <v>44</v>
      </c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</row>
    <row r="4" spans="2:16" s="1" customFormat="1" x14ac:dyDescent="0.3">
      <c r="C4" s="127" t="s">
        <v>3</v>
      </c>
      <c r="D4" s="128"/>
      <c r="E4" s="129" t="s">
        <v>120</v>
      </c>
      <c r="F4" s="128"/>
      <c r="G4" s="128"/>
      <c r="H4" s="128"/>
      <c r="J4" s="2"/>
      <c r="K4" s="2"/>
      <c r="L4" s="2"/>
      <c r="M4" s="2"/>
      <c r="N4" s="2"/>
      <c r="O4" s="2"/>
      <c r="P4" s="2"/>
    </row>
    <row r="5" spans="2:16" s="1" customFormat="1" ht="12.75" customHeight="1" x14ac:dyDescent="0.3">
      <c r="C5" s="127" t="s">
        <v>16</v>
      </c>
      <c r="D5" s="128"/>
      <c r="E5" s="129" t="str">
        <f>+Caratula!C7</f>
        <v>ASOCIACION DE PRODUCTORES AGROPECUARIOS MICROCUENCA NORTE RIO NUÑOA</v>
      </c>
      <c r="F5" s="128"/>
      <c r="G5" s="128"/>
      <c r="H5" s="128"/>
      <c r="I5" s="128"/>
      <c r="J5" s="128"/>
      <c r="K5" s="128"/>
      <c r="L5" s="128"/>
      <c r="M5" s="2"/>
      <c r="N5" s="2"/>
      <c r="O5" s="2"/>
      <c r="P5" s="2"/>
    </row>
    <row r="6" spans="2:16" s="1" customFormat="1" ht="12.75" customHeight="1" x14ac:dyDescent="0.3">
      <c r="C6" s="127" t="s">
        <v>4</v>
      </c>
      <c r="D6" s="128"/>
      <c r="E6" s="114">
        <f>+Caratula!J7</f>
        <v>20448433316</v>
      </c>
      <c r="F6" s="130"/>
      <c r="G6" s="130"/>
      <c r="H6" s="130"/>
      <c r="J6" s="2"/>
      <c r="K6" s="2"/>
      <c r="L6" s="2"/>
      <c r="M6" s="2"/>
      <c r="N6" s="2"/>
      <c r="O6" s="2"/>
      <c r="P6" s="2"/>
    </row>
    <row r="7" spans="2:16" s="1" customFormat="1" ht="22.5" customHeight="1" x14ac:dyDescent="0.3">
      <c r="C7" s="113" t="s">
        <v>5</v>
      </c>
      <c r="D7" s="113"/>
      <c r="E7" s="114" t="str">
        <f>+Caratula!C8</f>
        <v>MEJORAMIENTO DEL MANEJO PRUDUCTIVO DE LA ALPACA</v>
      </c>
      <c r="F7" s="114"/>
      <c r="G7" s="114"/>
      <c r="H7" s="114"/>
      <c r="I7" s="114"/>
      <c r="J7" s="114"/>
      <c r="K7" s="114"/>
      <c r="L7" s="114"/>
      <c r="M7" s="114"/>
      <c r="N7" s="114"/>
      <c r="O7" s="114"/>
      <c r="P7" s="2"/>
    </row>
    <row r="8" spans="2:16" ht="19.5" customHeight="1" x14ac:dyDescent="0.3">
      <c r="B8" s="115" t="s">
        <v>71</v>
      </c>
      <c r="C8" s="115"/>
      <c r="D8" s="115"/>
      <c r="E8" s="115"/>
      <c r="F8" s="115"/>
      <c r="G8" s="115" t="s">
        <v>11</v>
      </c>
      <c r="H8" s="115"/>
      <c r="I8" s="116"/>
      <c r="J8" s="119" t="s">
        <v>37</v>
      </c>
      <c r="K8" s="117"/>
      <c r="L8" s="117"/>
      <c r="M8" s="118"/>
      <c r="N8" s="119" t="s">
        <v>36</v>
      </c>
      <c r="O8" s="118"/>
    </row>
    <row r="9" spans="2:16" s="3" customFormat="1" ht="28.5" customHeight="1" x14ac:dyDescent="0.25">
      <c r="B9" s="117"/>
      <c r="C9" s="117"/>
      <c r="D9" s="117"/>
      <c r="E9" s="117"/>
      <c r="F9" s="117"/>
      <c r="G9" s="117"/>
      <c r="H9" s="117"/>
      <c r="I9" s="118"/>
      <c r="J9" s="5" t="s">
        <v>7</v>
      </c>
      <c r="K9" s="5" t="s">
        <v>12</v>
      </c>
      <c r="L9" s="5" t="s">
        <v>13</v>
      </c>
      <c r="M9" s="5" t="s">
        <v>35</v>
      </c>
      <c r="N9" s="16" t="s">
        <v>10</v>
      </c>
      <c r="O9" s="16" t="s">
        <v>9</v>
      </c>
      <c r="P9" s="16" t="s">
        <v>69</v>
      </c>
    </row>
    <row r="10" spans="2:16" ht="25.5" customHeight="1" x14ac:dyDescent="0.3">
      <c r="B10" s="6"/>
      <c r="C10" s="120" t="s">
        <v>14</v>
      </c>
      <c r="D10" s="121"/>
      <c r="E10" s="121"/>
      <c r="F10" s="121"/>
      <c r="G10" s="121"/>
      <c r="H10" s="121"/>
      <c r="I10" s="121"/>
      <c r="J10" s="121"/>
      <c r="K10" s="121"/>
      <c r="L10" s="122"/>
      <c r="M10" s="7">
        <f>0</f>
        <v>0</v>
      </c>
      <c r="N10" s="7">
        <f>0</f>
        <v>0</v>
      </c>
      <c r="O10" s="7">
        <f>0</f>
        <v>0</v>
      </c>
      <c r="P10" s="7"/>
    </row>
    <row r="11" spans="2:16" ht="25.5" customHeight="1" x14ac:dyDescent="0.3">
      <c r="B11" s="6"/>
      <c r="C11" s="123"/>
      <c r="D11" s="124"/>
      <c r="E11" s="124"/>
      <c r="F11" s="124"/>
      <c r="G11" s="124"/>
      <c r="H11" s="124"/>
      <c r="I11" s="124"/>
      <c r="J11" s="124"/>
      <c r="K11" s="124"/>
      <c r="L11" s="125"/>
      <c r="M11" s="7" t="s">
        <v>67</v>
      </c>
      <c r="N11" s="24">
        <v>0.2</v>
      </c>
      <c r="O11" s="24">
        <v>0.8</v>
      </c>
      <c r="P11" s="24"/>
    </row>
    <row r="12" spans="2:16" ht="9.75" customHeight="1" x14ac:dyDescent="0.3"/>
    <row r="13" spans="2:16" ht="13.5" customHeight="1" x14ac:dyDescent="0.3">
      <c r="C13" s="112" t="s">
        <v>98</v>
      </c>
      <c r="D13" s="112"/>
      <c r="E13" s="112"/>
      <c r="F13" s="112"/>
      <c r="G13" s="112"/>
      <c r="H13" s="112"/>
      <c r="O13" s="2" t="s">
        <v>74</v>
      </c>
    </row>
    <row r="15" spans="2:16" ht="0" hidden="1" customHeight="1" x14ac:dyDescent="0.3"/>
  </sheetData>
  <mergeCells count="16">
    <mergeCell ref="C1:G1"/>
    <mergeCell ref="C4:D4"/>
    <mergeCell ref="E4:H4"/>
    <mergeCell ref="C6:D6"/>
    <mergeCell ref="E6:H6"/>
    <mergeCell ref="C3:O3"/>
    <mergeCell ref="C5:D5"/>
    <mergeCell ref="E5:L5"/>
    <mergeCell ref="C13:H13"/>
    <mergeCell ref="C7:D7"/>
    <mergeCell ref="E7:O7"/>
    <mergeCell ref="G8:I9"/>
    <mergeCell ref="B8:F9"/>
    <mergeCell ref="N8:O8"/>
    <mergeCell ref="J8:M8"/>
    <mergeCell ref="C10:L11"/>
  </mergeCells>
  <pageMargins left="0.196850393700787" right="0.196850393700787" top="0.196850393700787" bottom="0.196850393700787" header="0.196850393700787" footer="0.196850393700787"/>
  <pageSetup paperSize="9" scale="85" fitToHeight="2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T19"/>
  <sheetViews>
    <sheetView showGridLines="0" topLeftCell="F1" zoomScale="90" zoomScaleNormal="90" workbookViewId="0">
      <selection activeCell="R26" sqref="R26"/>
    </sheetView>
  </sheetViews>
  <sheetFormatPr baseColWidth="10" defaultColWidth="11.44140625" defaultRowHeight="14.4" x14ac:dyDescent="0.3"/>
  <cols>
    <col min="1" max="1" width="1.88671875" customWidth="1"/>
    <col min="2" max="2" width="3.5546875" style="2" customWidth="1"/>
    <col min="3" max="3" width="12.109375" customWidth="1"/>
    <col min="4" max="4" width="10.5546875" customWidth="1"/>
    <col min="5" max="5" width="30.6640625" customWidth="1"/>
    <col min="6" max="6" width="23.109375" bestFit="1" customWidth="1"/>
    <col min="7" max="7" width="12.33203125" customWidth="1"/>
    <col min="8" max="8" width="13.5546875" style="20" customWidth="1"/>
    <col min="9" max="9" width="7.88671875" bestFit="1" customWidth="1"/>
    <col min="10" max="10" width="7.44140625" bestFit="1" customWidth="1"/>
    <col min="11" max="11" width="9.109375" customWidth="1"/>
    <col min="12" max="12" width="8.109375" bestFit="1" customWidth="1"/>
    <col min="13" max="13" width="7.5546875" bestFit="1" customWidth="1"/>
    <col min="14" max="14" width="7.44140625" bestFit="1" customWidth="1"/>
    <col min="15" max="15" width="9.88671875" style="1" customWidth="1"/>
    <col min="16" max="16" width="7.6640625" style="1" bestFit="1" customWidth="1"/>
    <col min="17" max="17" width="9.33203125" style="1" customWidth="1"/>
    <col min="18" max="18" width="8.109375" style="1" customWidth="1"/>
    <col min="19" max="19" width="7.44140625" style="1" bestFit="1" customWidth="1"/>
    <col min="20" max="20" width="8.5546875" customWidth="1"/>
  </cols>
  <sheetData>
    <row r="1" spans="2:20" ht="3" customHeight="1" x14ac:dyDescent="0.3"/>
    <row r="2" spans="2:20" ht="0.9" customHeight="1" x14ac:dyDescent="0.3"/>
    <row r="3" spans="2:20" ht="31.2" customHeight="1" x14ac:dyDescent="0.3">
      <c r="B3" s="126"/>
      <c r="C3" s="126"/>
      <c r="D3" s="126"/>
    </row>
    <row r="4" spans="2:20" ht="2.4" customHeight="1" x14ac:dyDescent="0.3"/>
    <row r="5" spans="2:20" ht="27" customHeight="1" x14ac:dyDescent="0.3">
      <c r="B5" s="138" t="s">
        <v>84</v>
      </c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</row>
    <row r="6" spans="2:20" ht="12.75" customHeight="1" x14ac:dyDescent="0.3">
      <c r="B6" s="137" t="s">
        <v>3</v>
      </c>
      <c r="C6" s="126"/>
      <c r="D6" s="139" t="s">
        <v>120</v>
      </c>
      <c r="E6" s="139"/>
      <c r="F6" s="18"/>
      <c r="G6" s="18"/>
      <c r="H6" s="21"/>
      <c r="I6" s="18"/>
      <c r="J6" s="18"/>
      <c r="N6" s="2"/>
    </row>
    <row r="7" spans="2:20" ht="12.75" customHeight="1" x14ac:dyDescent="0.3">
      <c r="B7" s="137" t="s">
        <v>16</v>
      </c>
      <c r="C7" s="126"/>
      <c r="D7" s="139" t="str">
        <f>+Caratula!C7</f>
        <v>ASOCIACION DE PRODUCTORES AGROPECUARIOS MICROCUENCA NORTE RIO NUÑOA</v>
      </c>
      <c r="E7" s="139"/>
      <c r="F7" s="139"/>
      <c r="G7" s="139"/>
      <c r="H7" s="139"/>
      <c r="I7" s="139"/>
      <c r="J7" s="139"/>
      <c r="K7" s="139"/>
      <c r="L7" s="139"/>
      <c r="M7" s="25"/>
      <c r="N7" s="25"/>
    </row>
    <row r="8" spans="2:20" ht="12.75" customHeight="1" x14ac:dyDescent="0.3">
      <c r="B8" s="137" t="s">
        <v>4</v>
      </c>
      <c r="C8" s="126"/>
      <c r="D8" s="139">
        <f>+Caratula!J7</f>
        <v>20448433316</v>
      </c>
      <c r="E8" s="139"/>
      <c r="F8" s="18"/>
      <c r="G8" s="18"/>
      <c r="H8" s="21"/>
      <c r="I8" s="18"/>
      <c r="J8" s="18"/>
      <c r="N8" s="2"/>
    </row>
    <row r="9" spans="2:20" ht="12.75" customHeight="1" x14ac:dyDescent="0.3">
      <c r="B9" s="140" t="s">
        <v>5</v>
      </c>
      <c r="C9" s="140"/>
      <c r="D9" s="129" t="str">
        <f>+Caratula!C8</f>
        <v>MEJORAMIENTO DEL MANEJO PRUDUCTIVO DE LA ALPACA</v>
      </c>
      <c r="E9" s="128"/>
      <c r="F9" s="128"/>
      <c r="G9" s="128"/>
      <c r="H9" s="128"/>
      <c r="I9" s="128"/>
      <c r="J9" s="128"/>
      <c r="K9" s="128"/>
      <c r="L9" s="128"/>
      <c r="M9" s="10"/>
      <c r="N9" s="10"/>
    </row>
    <row r="10" spans="2:20" ht="9.15" customHeight="1" thickBot="1" x14ac:dyDescent="0.35">
      <c r="I10" s="18"/>
      <c r="J10" s="18"/>
    </row>
    <row r="11" spans="2:20" s="1" customFormat="1" ht="15.75" customHeight="1" thickBot="1" x14ac:dyDescent="0.35">
      <c r="B11" s="141" t="s">
        <v>6</v>
      </c>
      <c r="C11" s="143" t="s">
        <v>72</v>
      </c>
      <c r="D11" s="144"/>
      <c r="E11" s="132" t="s">
        <v>34</v>
      </c>
      <c r="F11" s="132" t="s">
        <v>49</v>
      </c>
      <c r="G11" s="132" t="s">
        <v>50</v>
      </c>
      <c r="H11" s="132" t="s">
        <v>53</v>
      </c>
      <c r="I11" s="134" t="s">
        <v>58</v>
      </c>
      <c r="J11" s="135"/>
      <c r="K11" s="135"/>
      <c r="L11" s="135"/>
      <c r="M11" s="135"/>
      <c r="N11" s="136"/>
      <c r="O11" s="134" t="s">
        <v>59</v>
      </c>
      <c r="P11" s="135"/>
      <c r="Q11" s="135"/>
      <c r="R11" s="135"/>
      <c r="S11" s="135"/>
      <c r="T11" s="136"/>
    </row>
    <row r="12" spans="2:20" s="1" customFormat="1" ht="15" thickBot="1" x14ac:dyDescent="0.35">
      <c r="B12" s="142"/>
      <c r="C12" s="145"/>
      <c r="D12" s="146"/>
      <c r="E12" s="133"/>
      <c r="F12" s="133"/>
      <c r="G12" s="133"/>
      <c r="H12" s="133"/>
      <c r="I12" s="72">
        <v>46479</v>
      </c>
      <c r="J12" s="72">
        <v>46509</v>
      </c>
      <c r="K12" s="72">
        <v>46540</v>
      </c>
      <c r="L12" s="72">
        <v>46570</v>
      </c>
      <c r="M12" s="72">
        <v>46601</v>
      </c>
      <c r="N12" s="72">
        <v>46632</v>
      </c>
      <c r="O12" s="72">
        <v>46662</v>
      </c>
      <c r="P12" s="72">
        <v>46693</v>
      </c>
      <c r="Q12" s="72">
        <v>46723</v>
      </c>
      <c r="R12" s="72">
        <v>46754</v>
      </c>
      <c r="S12" s="72">
        <v>46785</v>
      </c>
      <c r="T12" s="72">
        <v>46814</v>
      </c>
    </row>
    <row r="13" spans="2:20" s="1" customFormat="1" ht="16.95" customHeight="1" x14ac:dyDescent="0.3">
      <c r="B13" s="147"/>
      <c r="C13" s="147"/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7"/>
    </row>
    <row r="14" spans="2:20" s="1" customFormat="1" ht="12.75" customHeight="1" x14ac:dyDescent="0.3">
      <c r="B14" s="13"/>
      <c r="C14" s="14"/>
      <c r="D14" s="15"/>
      <c r="E14" s="15"/>
      <c r="F14" s="15"/>
      <c r="G14" s="15"/>
      <c r="H14" s="22"/>
      <c r="I14" s="17"/>
      <c r="J14" s="17"/>
      <c r="K14" s="17"/>
      <c r="L14" s="17"/>
      <c r="M14" s="17"/>
      <c r="N14" s="17"/>
    </row>
    <row r="15" spans="2:20" s="4" customFormat="1" ht="15" customHeight="1" x14ac:dyDescent="0.3">
      <c r="B15" s="14"/>
      <c r="C15" s="112" t="s">
        <v>98</v>
      </c>
      <c r="D15" s="112"/>
      <c r="E15" s="112"/>
      <c r="F15" s="112"/>
      <c r="G15" s="112"/>
      <c r="H15" s="112"/>
      <c r="O15" s="1"/>
      <c r="P15" s="1"/>
      <c r="Q15" s="1"/>
      <c r="R15" s="1"/>
      <c r="S15" s="1"/>
    </row>
    <row r="16" spans="2:20" ht="11.25" customHeight="1" x14ac:dyDescent="0.3"/>
    <row r="17" spans="3:19" ht="11.7" customHeight="1" x14ac:dyDescent="0.3"/>
    <row r="18" spans="3:19" ht="0" hidden="1" customHeight="1" x14ac:dyDescent="0.3"/>
    <row r="19" spans="3:19" s="2" customFormat="1" ht="0" hidden="1" customHeight="1" x14ac:dyDescent="0.3">
      <c r="C19"/>
      <c r="D19"/>
      <c r="E19"/>
      <c r="F19"/>
      <c r="G19"/>
      <c r="H19" s="20"/>
      <c r="I19"/>
      <c r="J19"/>
      <c r="K19"/>
      <c r="L19"/>
      <c r="M19"/>
      <c r="N19"/>
      <c r="O19" s="1"/>
      <c r="P19" s="1"/>
      <c r="Q19" s="1"/>
      <c r="R19" s="1"/>
      <c r="S19" s="1"/>
    </row>
  </sheetData>
  <mergeCells count="20">
    <mergeCell ref="D8:E8"/>
    <mergeCell ref="D9:L9"/>
    <mergeCell ref="B8:C8"/>
    <mergeCell ref="B9:C9"/>
    <mergeCell ref="B11:B12"/>
    <mergeCell ref="C11:D12"/>
    <mergeCell ref="H11:H12"/>
    <mergeCell ref="I11:N11"/>
    <mergeCell ref="B3:D3"/>
    <mergeCell ref="B6:C6"/>
    <mergeCell ref="B7:C7"/>
    <mergeCell ref="B5:T5"/>
    <mergeCell ref="D6:E6"/>
    <mergeCell ref="D7:L7"/>
    <mergeCell ref="G11:G12"/>
    <mergeCell ref="F11:F12"/>
    <mergeCell ref="O11:T11"/>
    <mergeCell ref="E11:E12"/>
    <mergeCell ref="C15:H15"/>
    <mergeCell ref="B13:N13"/>
  </mergeCells>
  <phoneticPr fontId="26" type="noConversion"/>
  <pageMargins left="0.39370078740157483" right="0.19685039370078741" top="0.19685039370078741" bottom="0.19685039370078741" header="0.19685039370078741" footer="0.19685039370078741"/>
  <pageSetup paperSize="9" scale="68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T15"/>
  <sheetViews>
    <sheetView showGridLines="0" topLeftCell="H1" zoomScale="90" zoomScaleNormal="90" workbookViewId="0">
      <selection activeCell="T15" sqref="T15"/>
    </sheetView>
  </sheetViews>
  <sheetFormatPr baseColWidth="10" defaultColWidth="11.44140625" defaultRowHeight="14.4" x14ac:dyDescent="0.3"/>
  <cols>
    <col min="1" max="1" width="1.88671875" customWidth="1"/>
    <col min="2" max="2" width="3.5546875" style="2" customWidth="1"/>
    <col min="3" max="3" width="12.109375" customWidth="1"/>
    <col min="4" max="4" width="10.5546875" customWidth="1"/>
    <col min="5" max="5" width="30.6640625" customWidth="1"/>
    <col min="6" max="6" width="23.109375" bestFit="1" customWidth="1"/>
    <col min="7" max="7" width="12.33203125" customWidth="1"/>
    <col min="8" max="8" width="13.5546875" style="20" customWidth="1"/>
    <col min="9" max="9" width="10.5546875" customWidth="1"/>
    <col min="10" max="10" width="11" customWidth="1"/>
    <col min="11" max="11" width="12.44140625" customWidth="1"/>
    <col min="12" max="12" width="15.109375" customWidth="1"/>
    <col min="13" max="13" width="10.109375" bestFit="1" customWidth="1"/>
    <col min="14" max="14" width="13.109375" customWidth="1"/>
    <col min="15" max="15" width="9.88671875" style="1" customWidth="1"/>
    <col min="16" max="16" width="8.44140625" style="1" bestFit="1" customWidth="1"/>
    <col min="17" max="17" width="9.33203125" style="1" customWidth="1"/>
    <col min="18" max="18" width="8.109375" style="1" customWidth="1"/>
    <col min="19" max="19" width="8.44140625" style="1" bestFit="1" customWidth="1"/>
    <col min="20" max="20" width="8.5546875" customWidth="1"/>
  </cols>
  <sheetData>
    <row r="1" spans="2:20" ht="3" customHeight="1" x14ac:dyDescent="0.3"/>
    <row r="2" spans="2:20" ht="0.9" customHeight="1" x14ac:dyDescent="0.3"/>
    <row r="3" spans="2:20" ht="31.2" customHeight="1" x14ac:dyDescent="0.3">
      <c r="B3" s="126"/>
      <c r="C3" s="126"/>
      <c r="D3" s="126"/>
    </row>
    <row r="4" spans="2:20" ht="2.4" customHeight="1" x14ac:dyDescent="0.3"/>
    <row r="5" spans="2:20" ht="27" customHeight="1" x14ac:dyDescent="0.3">
      <c r="B5" s="138" t="s">
        <v>85</v>
      </c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</row>
    <row r="6" spans="2:20" ht="12.75" customHeight="1" x14ac:dyDescent="0.3">
      <c r="B6" s="137" t="s">
        <v>3</v>
      </c>
      <c r="C6" s="126"/>
      <c r="D6" s="139" t="s">
        <v>120</v>
      </c>
      <c r="E6" s="139"/>
      <c r="F6" s="18"/>
      <c r="G6" s="18"/>
      <c r="H6" s="21"/>
      <c r="I6" s="18"/>
      <c r="J6" s="18"/>
      <c r="N6" s="2"/>
    </row>
    <row r="7" spans="2:20" ht="12.75" customHeight="1" x14ac:dyDescent="0.3">
      <c r="B7" s="137" t="s">
        <v>16</v>
      </c>
      <c r="C7" s="126"/>
      <c r="D7" s="139" t="str">
        <f>+Caratula!C7</f>
        <v>ASOCIACION DE PRODUCTORES AGROPECUARIOS MICROCUENCA NORTE RIO NUÑOA</v>
      </c>
      <c r="E7" s="139"/>
      <c r="F7" s="139"/>
      <c r="G7" s="139"/>
      <c r="H7" s="139"/>
      <c r="I7" s="139"/>
      <c r="J7" s="139"/>
      <c r="K7" s="139"/>
      <c r="L7" s="139"/>
      <c r="M7" s="25"/>
      <c r="N7" s="25"/>
    </row>
    <row r="8" spans="2:20" ht="12.75" customHeight="1" x14ac:dyDescent="0.3">
      <c r="B8" s="137" t="s">
        <v>4</v>
      </c>
      <c r="C8" s="126"/>
      <c r="D8" s="139">
        <f>+Caratula!J7</f>
        <v>20448433316</v>
      </c>
      <c r="E8" s="139"/>
      <c r="F8" s="18"/>
      <c r="G8" s="18"/>
      <c r="H8" s="21"/>
      <c r="I8" s="18"/>
      <c r="J8" s="18"/>
      <c r="N8" s="2"/>
    </row>
    <row r="9" spans="2:20" ht="12.75" customHeight="1" x14ac:dyDescent="0.3">
      <c r="B9" s="140" t="s">
        <v>5</v>
      </c>
      <c r="C9" s="140"/>
      <c r="D9" s="129" t="str">
        <f>+Caratula!C8</f>
        <v>MEJORAMIENTO DEL MANEJO PRUDUCTIVO DE LA ALPACA</v>
      </c>
      <c r="E9" s="128"/>
      <c r="F9" s="128"/>
      <c r="G9" s="128"/>
      <c r="H9" s="128"/>
      <c r="I9" s="128"/>
      <c r="J9" s="128"/>
      <c r="K9" s="128"/>
      <c r="L9" s="128"/>
      <c r="M9" s="10"/>
      <c r="N9" s="10"/>
    </row>
    <row r="10" spans="2:20" ht="9.15" customHeight="1" thickBot="1" x14ac:dyDescent="0.35">
      <c r="I10" s="18"/>
      <c r="J10" s="18"/>
    </row>
    <row r="11" spans="2:20" s="1" customFormat="1" ht="15.75" customHeight="1" thickBot="1" x14ac:dyDescent="0.35">
      <c r="B11" s="141" t="s">
        <v>6</v>
      </c>
      <c r="C11" s="143" t="s">
        <v>72</v>
      </c>
      <c r="D11" s="144"/>
      <c r="E11" s="132" t="s">
        <v>34</v>
      </c>
      <c r="F11" s="132" t="s">
        <v>49</v>
      </c>
      <c r="G11" s="132" t="s">
        <v>50</v>
      </c>
      <c r="H11" s="132" t="s">
        <v>53</v>
      </c>
      <c r="I11" s="134" t="s">
        <v>58</v>
      </c>
      <c r="J11" s="135"/>
      <c r="K11" s="135"/>
      <c r="L11" s="135"/>
      <c r="M11" s="135"/>
      <c r="N11" s="136"/>
      <c r="O11" s="134" t="s">
        <v>59</v>
      </c>
      <c r="P11" s="135"/>
      <c r="Q11" s="135"/>
      <c r="R11" s="135"/>
      <c r="S11" s="135"/>
      <c r="T11" s="136"/>
    </row>
    <row r="12" spans="2:20" s="1" customFormat="1" ht="15" thickBot="1" x14ac:dyDescent="0.35">
      <c r="B12" s="142"/>
      <c r="C12" s="145"/>
      <c r="D12" s="146"/>
      <c r="E12" s="133"/>
      <c r="F12" s="133"/>
      <c r="G12" s="133"/>
      <c r="H12" s="133"/>
      <c r="I12" s="72">
        <v>46479</v>
      </c>
      <c r="J12" s="72">
        <v>46509</v>
      </c>
      <c r="K12" s="72">
        <v>46540</v>
      </c>
      <c r="L12" s="72">
        <v>46570</v>
      </c>
      <c r="M12" s="72">
        <v>46601</v>
      </c>
      <c r="N12" s="72">
        <v>46632</v>
      </c>
      <c r="O12" s="72">
        <v>46662</v>
      </c>
      <c r="P12" s="72">
        <v>46693</v>
      </c>
      <c r="Q12" s="72">
        <v>46723</v>
      </c>
      <c r="R12" s="72">
        <v>46754</v>
      </c>
      <c r="S12" s="72">
        <v>46785</v>
      </c>
      <c r="T12" s="72">
        <v>46814</v>
      </c>
    </row>
    <row r="15" spans="2:20" ht="15" customHeight="1" x14ac:dyDescent="0.3">
      <c r="C15" s="112" t="s">
        <v>98</v>
      </c>
      <c r="D15" s="112"/>
      <c r="E15" s="112"/>
      <c r="F15" s="112"/>
      <c r="G15" s="112"/>
      <c r="H15" s="112"/>
    </row>
  </sheetData>
  <mergeCells count="19">
    <mergeCell ref="B8:C8"/>
    <mergeCell ref="D8:E8"/>
    <mergeCell ref="B9:C9"/>
    <mergeCell ref="D9:L9"/>
    <mergeCell ref="B3:D3"/>
    <mergeCell ref="B5:T5"/>
    <mergeCell ref="B6:C6"/>
    <mergeCell ref="D6:E6"/>
    <mergeCell ref="B7:C7"/>
    <mergeCell ref="D7:L7"/>
    <mergeCell ref="C15:H15"/>
    <mergeCell ref="O11:T11"/>
    <mergeCell ref="B11:B12"/>
    <mergeCell ref="C11:D12"/>
    <mergeCell ref="E11:E12"/>
    <mergeCell ref="F11:F12"/>
    <mergeCell ref="G11:G12"/>
    <mergeCell ref="H11:H12"/>
    <mergeCell ref="I11:N11"/>
  </mergeCells>
  <pageMargins left="0.39370078740157483" right="0.19685039370078741" top="0.19685039370078741" bottom="0.19685039370078741" header="0.19685039370078741" footer="0.19685039370078741"/>
  <pageSetup paperSize="9" scale="60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L34"/>
  <sheetViews>
    <sheetView showGridLines="0" tabSelected="1" view="pageLayout" topLeftCell="E19" zoomScaleNormal="73" workbookViewId="0">
      <selection activeCell="F22" sqref="F22"/>
    </sheetView>
  </sheetViews>
  <sheetFormatPr baseColWidth="10" defaultRowHeight="14.4" x14ac:dyDescent="0.3"/>
  <cols>
    <col min="1" max="1" width="1.88671875" customWidth="1"/>
    <col min="2" max="2" width="6" style="2" customWidth="1"/>
    <col min="3" max="3" width="12.109375" customWidth="1"/>
    <col min="4" max="4" width="14.6640625" customWidth="1"/>
    <col min="5" max="5" width="16.44140625" customWidth="1"/>
    <col min="6" max="6" width="19.88671875" customWidth="1"/>
    <col min="7" max="8" width="11" bestFit="1" customWidth="1"/>
    <col min="9" max="9" width="11.33203125" customWidth="1"/>
    <col min="10" max="10" width="11.6640625" customWidth="1"/>
    <col min="11" max="11" width="13.6640625" customWidth="1"/>
    <col min="12" max="12" width="14.6640625" customWidth="1"/>
  </cols>
  <sheetData>
    <row r="1" spans="2:12" ht="3" customHeight="1" x14ac:dyDescent="0.3"/>
    <row r="2" spans="2:12" ht="0.9" customHeight="1" x14ac:dyDescent="0.3"/>
    <row r="3" spans="2:12" ht="31.2" customHeight="1" x14ac:dyDescent="0.3">
      <c r="B3" s="126"/>
      <c r="C3" s="126"/>
      <c r="D3" s="126"/>
    </row>
    <row r="4" spans="2:12" ht="2.4" customHeight="1" x14ac:dyDescent="0.3"/>
    <row r="5" spans="2:12" ht="27" customHeight="1" x14ac:dyDescent="0.3">
      <c r="B5" s="148" t="s">
        <v>60</v>
      </c>
      <c r="C5" s="148"/>
      <c r="D5" s="148"/>
      <c r="E5" s="148"/>
      <c r="F5" s="148"/>
      <c r="G5" s="148"/>
      <c r="H5" s="148"/>
      <c r="I5" s="148"/>
      <c r="J5" s="148"/>
      <c r="K5" s="148"/>
    </row>
    <row r="6" spans="2:12" ht="12.75" customHeight="1" x14ac:dyDescent="0.3">
      <c r="B6" s="137" t="s">
        <v>3</v>
      </c>
      <c r="C6" s="137"/>
      <c r="D6" s="139" t="s">
        <v>120</v>
      </c>
      <c r="E6" s="139"/>
      <c r="F6" s="139"/>
      <c r="G6" s="139"/>
      <c r="H6" s="139"/>
      <c r="I6" s="139"/>
      <c r="K6" s="2"/>
      <c r="L6" s="2"/>
    </row>
    <row r="7" spans="2:12" ht="12.75" customHeight="1" x14ac:dyDescent="0.3">
      <c r="B7" s="137" t="s">
        <v>16</v>
      </c>
      <c r="C7" s="137"/>
      <c r="D7" s="139" t="str">
        <f>+Caratula!C7</f>
        <v>ASOCIACION DE PRODUCTORES AGROPECUARIOS MICROCUENCA NORTE RIO NUÑOA</v>
      </c>
      <c r="E7" s="139"/>
      <c r="F7" s="139"/>
      <c r="G7" s="139"/>
      <c r="H7" s="139"/>
      <c r="I7" s="139"/>
      <c r="J7" s="139"/>
      <c r="K7" s="139"/>
      <c r="L7" s="18"/>
    </row>
    <row r="8" spans="2:12" ht="12.75" customHeight="1" x14ac:dyDescent="0.3">
      <c r="B8" s="137" t="s">
        <v>4</v>
      </c>
      <c r="C8" s="137"/>
      <c r="D8" s="139">
        <f>+Caratula!J7</f>
        <v>20448433316</v>
      </c>
      <c r="E8" s="139"/>
      <c r="F8" s="139"/>
      <c r="G8" s="139"/>
      <c r="H8" s="139"/>
      <c r="I8" s="139"/>
      <c r="K8" s="2"/>
      <c r="L8" s="2"/>
    </row>
    <row r="9" spans="2:12" ht="12.75" customHeight="1" x14ac:dyDescent="0.3">
      <c r="B9" s="140" t="s">
        <v>5</v>
      </c>
      <c r="C9" s="140"/>
      <c r="D9" s="114" t="str">
        <f>+Caratula!C8</f>
        <v>MEJORAMIENTO DEL MANEJO PRUDUCTIVO DE LA ALPACA</v>
      </c>
      <c r="E9" s="114"/>
      <c r="F9" s="114"/>
      <c r="G9" s="114"/>
      <c r="H9" s="114"/>
      <c r="I9" s="114"/>
      <c r="J9" s="114"/>
      <c r="K9" s="114"/>
      <c r="L9" s="10"/>
    </row>
    <row r="10" spans="2:12" ht="12.75" customHeight="1" x14ac:dyDescent="0.3">
      <c r="B10" s="52"/>
      <c r="C10" s="52"/>
      <c r="D10" s="149"/>
      <c r="E10" s="149"/>
      <c r="F10" s="149"/>
      <c r="G10" s="149"/>
      <c r="H10" s="149"/>
      <c r="I10" s="149"/>
      <c r="J10" s="149"/>
      <c r="K10" s="149"/>
      <c r="L10" s="10"/>
    </row>
    <row r="11" spans="2:12" ht="21.75" customHeight="1" x14ac:dyDescent="0.3">
      <c r="B11" s="154"/>
      <c r="C11" s="160" t="s">
        <v>61</v>
      </c>
      <c r="D11" s="161"/>
      <c r="E11" s="154" t="s">
        <v>75</v>
      </c>
      <c r="F11" s="154" t="s">
        <v>73</v>
      </c>
      <c r="G11" s="53" t="s">
        <v>52</v>
      </c>
      <c r="H11" s="53" t="s">
        <v>62</v>
      </c>
      <c r="I11" s="158" t="s">
        <v>66</v>
      </c>
      <c r="J11" s="159"/>
      <c r="K11" s="23" t="s">
        <v>64</v>
      </c>
      <c r="L11" s="154" t="s">
        <v>49</v>
      </c>
    </row>
    <row r="12" spans="2:12" s="1" customFormat="1" ht="16.5" customHeight="1" thickBot="1" x14ac:dyDescent="0.35">
      <c r="B12" s="155"/>
      <c r="C12" s="162"/>
      <c r="D12" s="163"/>
      <c r="E12" s="155"/>
      <c r="F12" s="155"/>
      <c r="G12" s="54" t="s">
        <v>33</v>
      </c>
      <c r="H12" s="54" t="s">
        <v>63</v>
      </c>
      <c r="I12" s="54" t="s">
        <v>58</v>
      </c>
      <c r="J12" s="54" t="s">
        <v>59</v>
      </c>
      <c r="K12" s="54" t="s">
        <v>65</v>
      </c>
      <c r="L12" s="155"/>
    </row>
    <row r="13" spans="2:12" s="1" customFormat="1" ht="78.75" customHeight="1" thickBot="1" x14ac:dyDescent="0.35">
      <c r="B13" s="55"/>
      <c r="C13" s="166" t="s">
        <v>94</v>
      </c>
      <c r="D13" s="167"/>
      <c r="E13" s="150" t="s">
        <v>102</v>
      </c>
      <c r="F13" s="61" t="s">
        <v>100</v>
      </c>
      <c r="G13" s="62">
        <v>778</v>
      </c>
      <c r="H13" s="62">
        <v>1799</v>
      </c>
      <c r="I13" s="62">
        <f>H13*0.4</f>
        <v>719.6</v>
      </c>
      <c r="J13" s="62">
        <f>H13*0.6</f>
        <v>1079.3999999999999</v>
      </c>
      <c r="K13" s="62">
        <f>I13+J13</f>
        <v>1799</v>
      </c>
      <c r="L13" s="63" t="s">
        <v>88</v>
      </c>
    </row>
    <row r="14" spans="2:12" s="1" customFormat="1" ht="78.75" customHeight="1" thickBot="1" x14ac:dyDescent="0.35">
      <c r="B14" s="56"/>
      <c r="C14" s="168"/>
      <c r="D14" s="169"/>
      <c r="E14" s="151"/>
      <c r="F14" s="61" t="s">
        <v>101</v>
      </c>
      <c r="G14" s="60">
        <v>15</v>
      </c>
      <c r="H14" s="60">
        <v>15</v>
      </c>
      <c r="I14" s="60">
        <v>15</v>
      </c>
      <c r="J14" s="60">
        <v>15</v>
      </c>
      <c r="K14" s="60">
        <v>15</v>
      </c>
      <c r="L14" s="63" t="s">
        <v>88</v>
      </c>
    </row>
    <row r="15" spans="2:12" s="76" customFormat="1" ht="78.75" customHeight="1" thickBot="1" x14ac:dyDescent="0.35">
      <c r="B15" s="77"/>
      <c r="C15" s="168"/>
      <c r="D15" s="169"/>
      <c r="E15" s="151"/>
      <c r="F15" s="71" t="s">
        <v>103</v>
      </c>
      <c r="G15" s="60">
        <f>G13*G14</f>
        <v>11670</v>
      </c>
      <c r="H15" s="60">
        <f>H13*H14</f>
        <v>26985</v>
      </c>
      <c r="I15" s="60">
        <f>I13*I14</f>
        <v>10794</v>
      </c>
      <c r="J15" s="60">
        <f>J13*J14</f>
        <v>16190.999999999998</v>
      </c>
      <c r="K15" s="60">
        <f>K13*K14</f>
        <v>26985</v>
      </c>
      <c r="L15" s="63" t="s">
        <v>88</v>
      </c>
    </row>
    <row r="16" spans="2:12" s="76" customFormat="1" ht="78.75" customHeight="1" thickBot="1" x14ac:dyDescent="0.35">
      <c r="B16" s="77"/>
      <c r="C16" s="168"/>
      <c r="D16" s="169"/>
      <c r="E16" s="152"/>
      <c r="F16" s="71" t="s">
        <v>110</v>
      </c>
      <c r="G16" s="60">
        <v>0</v>
      </c>
      <c r="H16" s="60">
        <v>0</v>
      </c>
      <c r="I16" s="60">
        <v>0</v>
      </c>
      <c r="J16" s="60">
        <v>0</v>
      </c>
      <c r="K16" s="60">
        <v>0</v>
      </c>
      <c r="L16" s="63" t="s">
        <v>88</v>
      </c>
    </row>
    <row r="17" spans="2:12" s="76" customFormat="1" ht="78.75" customHeight="1" thickBot="1" x14ac:dyDescent="0.35">
      <c r="B17" s="77"/>
      <c r="C17" s="168"/>
      <c r="D17" s="169"/>
      <c r="E17" s="164" t="s">
        <v>106</v>
      </c>
      <c r="F17" s="71" t="s">
        <v>101</v>
      </c>
      <c r="G17" s="60">
        <v>24.6</v>
      </c>
      <c r="H17" s="60">
        <v>28.5</v>
      </c>
      <c r="I17" s="60">
        <v>28.5</v>
      </c>
      <c r="J17" s="60">
        <v>28.5</v>
      </c>
      <c r="K17" s="60">
        <v>28.5</v>
      </c>
      <c r="L17" s="63" t="s">
        <v>88</v>
      </c>
    </row>
    <row r="18" spans="2:12" s="76" customFormat="1" ht="78.75" customHeight="1" thickBot="1" x14ac:dyDescent="0.35">
      <c r="B18" s="77"/>
      <c r="C18" s="168"/>
      <c r="D18" s="169"/>
      <c r="E18" s="152"/>
      <c r="F18" s="71" t="s">
        <v>103</v>
      </c>
      <c r="G18" s="60">
        <f>G13*G17</f>
        <v>19138.800000000003</v>
      </c>
      <c r="H18" s="60">
        <f>H13*H17</f>
        <v>51271.5</v>
      </c>
      <c r="I18" s="60">
        <f>I13*I17</f>
        <v>20508.600000000002</v>
      </c>
      <c r="J18" s="60">
        <f>J13*J17</f>
        <v>30762.899999999998</v>
      </c>
      <c r="K18" s="60">
        <f>K13*K17</f>
        <v>51271.5</v>
      </c>
      <c r="L18" s="63" t="s">
        <v>88</v>
      </c>
    </row>
    <row r="19" spans="2:12" s="76" customFormat="1" ht="78.75" customHeight="1" x14ac:dyDescent="0.3">
      <c r="B19" s="77"/>
      <c r="C19" s="168"/>
      <c r="D19" s="169"/>
      <c r="E19" s="164" t="s">
        <v>70</v>
      </c>
      <c r="F19" s="71" t="s">
        <v>104</v>
      </c>
      <c r="G19" s="60">
        <v>120</v>
      </c>
      <c r="H19" s="60">
        <v>90</v>
      </c>
      <c r="I19" s="60">
        <v>90</v>
      </c>
      <c r="J19" s="60">
        <v>90</v>
      </c>
      <c r="K19" s="60">
        <v>90</v>
      </c>
      <c r="L19" s="63" t="s">
        <v>88</v>
      </c>
    </row>
    <row r="20" spans="2:12" s="1" customFormat="1" ht="78.75" customHeight="1" x14ac:dyDescent="0.3">
      <c r="B20" s="56"/>
      <c r="C20" s="168"/>
      <c r="D20" s="169"/>
      <c r="E20" s="151"/>
      <c r="F20" s="71" t="s">
        <v>105</v>
      </c>
      <c r="G20" s="60">
        <v>0.08</v>
      </c>
      <c r="H20" s="60">
        <v>0.15</v>
      </c>
      <c r="I20" s="60">
        <v>0.12</v>
      </c>
      <c r="J20" s="60">
        <v>0.12</v>
      </c>
      <c r="K20" s="60">
        <v>0.12</v>
      </c>
      <c r="L20" s="64" t="s">
        <v>88</v>
      </c>
    </row>
    <row r="21" spans="2:12" s="76" customFormat="1" ht="78.75" customHeight="1" x14ac:dyDescent="0.3">
      <c r="B21" s="77"/>
      <c r="C21" s="168"/>
      <c r="D21" s="169"/>
      <c r="E21" s="151"/>
      <c r="F21" s="71" t="s">
        <v>112</v>
      </c>
      <c r="G21" s="81">
        <v>0.04</v>
      </c>
      <c r="H21" s="81">
        <v>0.02</v>
      </c>
      <c r="I21" s="81">
        <v>0.02</v>
      </c>
      <c r="J21" s="81">
        <v>0.02</v>
      </c>
      <c r="K21" s="81">
        <v>0.02</v>
      </c>
      <c r="L21" s="64" t="s">
        <v>88</v>
      </c>
    </row>
    <row r="22" spans="2:12" s="1" customFormat="1" ht="78.75" customHeight="1" thickBot="1" x14ac:dyDescent="0.35">
      <c r="B22" s="56"/>
      <c r="C22" s="168"/>
      <c r="D22" s="169"/>
      <c r="E22" s="165"/>
      <c r="F22" s="71" t="s">
        <v>121</v>
      </c>
      <c r="G22" s="57">
        <v>9.6</v>
      </c>
      <c r="H22" s="57">
        <v>13.5</v>
      </c>
      <c r="I22" s="57">
        <v>13.5</v>
      </c>
      <c r="J22" s="57">
        <v>13.5</v>
      </c>
      <c r="K22" s="57">
        <v>13.5</v>
      </c>
      <c r="L22" s="64" t="s">
        <v>88</v>
      </c>
    </row>
    <row r="23" spans="2:12" s="76" customFormat="1" ht="78.75" customHeight="1" x14ac:dyDescent="0.3">
      <c r="B23" s="77"/>
      <c r="C23" s="168"/>
      <c r="D23" s="169"/>
      <c r="E23" s="78"/>
      <c r="F23" s="80" t="s">
        <v>111</v>
      </c>
      <c r="G23" s="74">
        <v>318</v>
      </c>
      <c r="H23" s="74">
        <v>260</v>
      </c>
      <c r="I23" s="74">
        <v>260</v>
      </c>
      <c r="J23" s="74">
        <v>260</v>
      </c>
      <c r="K23" s="74">
        <v>260</v>
      </c>
      <c r="L23" s="64" t="s">
        <v>88</v>
      </c>
    </row>
    <row r="24" spans="2:12" s="1" customFormat="1" ht="56.25" customHeight="1" x14ac:dyDescent="0.3">
      <c r="B24" s="56"/>
      <c r="C24" s="168"/>
      <c r="D24" s="169"/>
      <c r="E24" s="151" t="s">
        <v>107</v>
      </c>
      <c r="F24" s="73" t="s">
        <v>108</v>
      </c>
      <c r="G24" s="74">
        <f>G18</f>
        <v>19138.800000000003</v>
      </c>
      <c r="H24" s="74">
        <f t="shared" ref="H24:K24" si="0">H18</f>
        <v>51271.5</v>
      </c>
      <c r="I24" s="74">
        <f t="shared" si="0"/>
        <v>20508.600000000002</v>
      </c>
      <c r="J24" s="74">
        <f t="shared" si="0"/>
        <v>30762.899999999998</v>
      </c>
      <c r="K24" s="74">
        <f t="shared" si="0"/>
        <v>51271.5</v>
      </c>
      <c r="L24" s="64" t="s">
        <v>88</v>
      </c>
    </row>
    <row r="25" spans="2:12" s="1" customFormat="1" ht="56.25" customHeight="1" x14ac:dyDescent="0.3">
      <c r="B25" s="56"/>
      <c r="C25" s="168"/>
      <c r="D25" s="169"/>
      <c r="E25" s="151"/>
      <c r="F25" s="69" t="s">
        <v>109</v>
      </c>
      <c r="G25" s="74">
        <v>14</v>
      </c>
      <c r="H25" s="74">
        <v>14</v>
      </c>
      <c r="I25" s="74">
        <v>14</v>
      </c>
      <c r="J25" s="74">
        <v>14</v>
      </c>
      <c r="K25" s="74">
        <v>14</v>
      </c>
      <c r="L25" s="64" t="s">
        <v>90</v>
      </c>
    </row>
    <row r="26" spans="2:12" s="1" customFormat="1" ht="56.25" customHeight="1" thickBot="1" x14ac:dyDescent="0.35">
      <c r="B26" s="56"/>
      <c r="C26" s="168"/>
      <c r="D26" s="169"/>
      <c r="E26" s="151"/>
      <c r="F26" s="73" t="s">
        <v>91</v>
      </c>
      <c r="G26" s="74">
        <f>G24*G25</f>
        <v>267943.20000000007</v>
      </c>
      <c r="H26" s="74">
        <f t="shared" ref="H26:K26" si="1">H24*H25</f>
        <v>717801</v>
      </c>
      <c r="I26" s="74">
        <f t="shared" si="1"/>
        <v>287120.40000000002</v>
      </c>
      <c r="J26" s="74">
        <f t="shared" si="1"/>
        <v>430680.6</v>
      </c>
      <c r="K26" s="74">
        <f t="shared" si="1"/>
        <v>717801</v>
      </c>
      <c r="L26" s="64" t="s">
        <v>90</v>
      </c>
    </row>
    <row r="27" spans="2:12" s="1" customFormat="1" ht="39.6" customHeight="1" thickBot="1" x14ac:dyDescent="0.35">
      <c r="B27" s="59"/>
      <c r="C27" s="156" t="s">
        <v>86</v>
      </c>
      <c r="D27" s="157"/>
      <c r="E27" s="67" t="s">
        <v>82</v>
      </c>
      <c r="F27" s="79" t="s">
        <v>89</v>
      </c>
      <c r="G27" s="70">
        <f>187*2</f>
        <v>374</v>
      </c>
      <c r="H27" s="70">
        <f>179*2</f>
        <v>358</v>
      </c>
      <c r="I27" s="70">
        <f>(185*2)/2</f>
        <v>185</v>
      </c>
      <c r="J27" s="70">
        <f>(185*2)/2</f>
        <v>185</v>
      </c>
      <c r="K27" s="70">
        <f>I27+J27</f>
        <v>370</v>
      </c>
      <c r="L27" s="68" t="s">
        <v>87</v>
      </c>
    </row>
    <row r="28" spans="2:12" s="1" customFormat="1" ht="39.6" customHeight="1" thickBot="1" x14ac:dyDescent="0.35">
      <c r="B28" s="58"/>
      <c r="C28" s="156" t="s">
        <v>115</v>
      </c>
      <c r="D28" s="157"/>
      <c r="E28" s="67" t="s">
        <v>51</v>
      </c>
      <c r="F28" s="65" t="s">
        <v>113</v>
      </c>
      <c r="G28" s="82">
        <v>0.35</v>
      </c>
      <c r="H28" s="83">
        <v>1</v>
      </c>
      <c r="I28" s="83">
        <f>H28/2</f>
        <v>0.5</v>
      </c>
      <c r="J28" s="83">
        <f>H28/2</f>
        <v>0.5</v>
      </c>
      <c r="K28" s="83">
        <f>I28+J28</f>
        <v>1</v>
      </c>
      <c r="L28" s="66" t="s">
        <v>114</v>
      </c>
    </row>
    <row r="29" spans="2:12" s="1" customFormat="1" ht="42" customHeight="1" x14ac:dyDescent="0.3">
      <c r="B29" s="153" t="s">
        <v>68</v>
      </c>
      <c r="C29" s="153"/>
      <c r="D29" s="153"/>
      <c r="E29" s="153"/>
      <c r="F29" s="153"/>
      <c r="G29" s="153"/>
      <c r="H29" s="153"/>
      <c r="I29" s="153"/>
      <c r="J29" s="153"/>
      <c r="K29" s="153"/>
    </row>
    <row r="30" spans="2:12" s="4" customFormat="1" ht="24" customHeight="1" x14ac:dyDescent="0.3">
      <c r="B30" s="112" t="s">
        <v>98</v>
      </c>
      <c r="C30" s="112"/>
      <c r="D30" s="112"/>
      <c r="E30" s="112"/>
      <c r="F30" s="112"/>
      <c r="G30" s="112"/>
    </row>
    <row r="31" spans="2:12" ht="11.25" customHeight="1" x14ac:dyDescent="0.3"/>
    <row r="32" spans="2:12" ht="11.7" customHeight="1" x14ac:dyDescent="0.3"/>
    <row r="33" ht="0" hidden="1" customHeight="1" x14ac:dyDescent="0.3"/>
    <row r="34" ht="0" hidden="1" customHeight="1" x14ac:dyDescent="0.3"/>
  </sheetData>
  <mergeCells count="27">
    <mergeCell ref="B30:G30"/>
    <mergeCell ref="E13:E16"/>
    <mergeCell ref="B29:K29"/>
    <mergeCell ref="L11:L12"/>
    <mergeCell ref="C28:D28"/>
    <mergeCell ref="E11:E12"/>
    <mergeCell ref="I11:J11"/>
    <mergeCell ref="F11:F12"/>
    <mergeCell ref="C11:D12"/>
    <mergeCell ref="E19:E22"/>
    <mergeCell ref="E17:E18"/>
    <mergeCell ref="B11:B12"/>
    <mergeCell ref="C27:D27"/>
    <mergeCell ref="C13:D26"/>
    <mergeCell ref="E24:E26"/>
    <mergeCell ref="B8:C8"/>
    <mergeCell ref="B9:C9"/>
    <mergeCell ref="D8:F8"/>
    <mergeCell ref="D9:K10"/>
    <mergeCell ref="G8:I8"/>
    <mergeCell ref="B3:D3"/>
    <mergeCell ref="B6:C6"/>
    <mergeCell ref="B7:C7"/>
    <mergeCell ref="B5:K5"/>
    <mergeCell ref="D6:F6"/>
    <mergeCell ref="G6:I6"/>
    <mergeCell ref="D7:K7"/>
  </mergeCells>
  <pageMargins left="0.39370078740157483" right="0.19685039370078741" top="0.19685039370078741" bottom="0.19685039370078741" header="0.19685039370078741" footer="0.19685039370078741"/>
  <pageSetup paperSize="9" scale="98" fitToHeight="0" orientation="landscape" r:id="rId1"/>
  <headerFooter alignWithMargins="0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"/>
  <sheetViews>
    <sheetView workbookViewId="0">
      <selection activeCell="G3" sqref="G3"/>
    </sheetView>
  </sheetViews>
  <sheetFormatPr baseColWidth="10" defaultRowHeight="14.4" x14ac:dyDescent="0.3"/>
  <sheetData>
    <row r="1" spans="1:7" x14ac:dyDescent="0.3">
      <c r="B1" t="s">
        <v>77</v>
      </c>
      <c r="C1" t="s">
        <v>78</v>
      </c>
      <c r="D1" t="s">
        <v>76</v>
      </c>
      <c r="E1" t="s">
        <v>79</v>
      </c>
      <c r="F1" t="s">
        <v>80</v>
      </c>
      <c r="G1" t="s">
        <v>81</v>
      </c>
    </row>
    <row r="2" spans="1:7" x14ac:dyDescent="0.3">
      <c r="A2">
        <v>0</v>
      </c>
      <c r="B2">
        <v>12</v>
      </c>
      <c r="C2">
        <v>44.5</v>
      </c>
      <c r="D2">
        <f>+B2*C2</f>
        <v>534</v>
      </c>
      <c r="E2">
        <f>+B2*55.2</f>
        <v>662.40000000000009</v>
      </c>
      <c r="F2">
        <f>+E2*C2</f>
        <v>29476.800000000003</v>
      </c>
      <c r="G2">
        <f>+F2/1000</f>
        <v>29.476800000000004</v>
      </c>
    </row>
    <row r="3" spans="1:7" x14ac:dyDescent="0.3">
      <c r="A3">
        <v>1</v>
      </c>
      <c r="B3">
        <v>16</v>
      </c>
      <c r="C3">
        <v>44.5</v>
      </c>
      <c r="D3">
        <f t="shared" ref="D3:D5" si="0">+B3*C3</f>
        <v>712</v>
      </c>
      <c r="E3">
        <f t="shared" ref="E3:E5" si="1">+B3*55.2</f>
        <v>883.2</v>
      </c>
      <c r="F3">
        <f t="shared" ref="F3:F5" si="2">+E3*C3</f>
        <v>39302.400000000001</v>
      </c>
      <c r="G3">
        <f t="shared" ref="G3:G5" si="3">+F3/1000</f>
        <v>39.302399999999999</v>
      </c>
    </row>
    <row r="4" spans="1:7" x14ac:dyDescent="0.3">
      <c r="A4">
        <v>2</v>
      </c>
      <c r="B4">
        <v>20</v>
      </c>
      <c r="C4">
        <v>44.5</v>
      </c>
      <c r="D4">
        <f t="shared" si="0"/>
        <v>890</v>
      </c>
      <c r="E4">
        <f t="shared" si="1"/>
        <v>1104</v>
      </c>
      <c r="F4">
        <f t="shared" si="2"/>
        <v>49128</v>
      </c>
      <c r="G4">
        <f t="shared" si="3"/>
        <v>49.128</v>
      </c>
    </row>
    <row r="5" spans="1:7" x14ac:dyDescent="0.3">
      <c r="A5">
        <v>3</v>
      </c>
      <c r="B5">
        <v>24</v>
      </c>
      <c r="C5">
        <v>44.5</v>
      </c>
      <c r="D5">
        <f t="shared" si="0"/>
        <v>1068</v>
      </c>
      <c r="E5">
        <f t="shared" si="1"/>
        <v>1324.8000000000002</v>
      </c>
      <c r="F5">
        <f t="shared" si="2"/>
        <v>58953.600000000006</v>
      </c>
      <c r="G5">
        <f t="shared" si="3"/>
        <v>58.953600000000009</v>
      </c>
    </row>
    <row r="6" spans="1:7" x14ac:dyDescent="0.3">
      <c r="A6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H31"/>
  <sheetViews>
    <sheetView workbookViewId="0">
      <selection activeCell="H31" sqref="H31"/>
    </sheetView>
  </sheetViews>
  <sheetFormatPr baseColWidth="10" defaultRowHeight="14.4" x14ac:dyDescent="0.3"/>
  <sheetData>
    <row r="31" spans="8:8" x14ac:dyDescent="0.3">
      <c r="H3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</vt:i4>
      </vt:variant>
    </vt:vector>
  </HeadingPairs>
  <TitlesOfParts>
    <vt:vector size="9" baseType="lpstr">
      <vt:lpstr>Caratula</vt:lpstr>
      <vt:lpstr>Formato 01</vt:lpstr>
      <vt:lpstr>Formato 02A</vt:lpstr>
      <vt:lpstr>Formato 02B</vt:lpstr>
      <vt:lpstr>Formato 03</vt:lpstr>
      <vt:lpstr>xxxxxxxxxx</vt:lpstr>
      <vt:lpstr>Hoja1</vt:lpstr>
      <vt:lpstr>Caratula!Área_de_impresión</vt:lpstr>
      <vt:lpstr>'Formato 01'!Área_de_impresión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especialista de monitoreo 18</dc:creator>
  <cp:lastModifiedBy>HERBERT PHOCCO</cp:lastModifiedBy>
  <cp:lastPrinted>2025-07-21T15:58:29Z</cp:lastPrinted>
  <dcterms:created xsi:type="dcterms:W3CDTF">2017-05-09T15:51:39Z</dcterms:created>
  <dcterms:modified xsi:type="dcterms:W3CDTF">2026-02-18T21:13:43Z</dcterms:modified>
</cp:coreProperties>
</file>