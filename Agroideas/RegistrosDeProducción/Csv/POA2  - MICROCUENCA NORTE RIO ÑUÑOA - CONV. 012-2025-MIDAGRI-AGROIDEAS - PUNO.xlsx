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HERBERT PHOCCO\Desktop\NORTE RIO ÑUNOA\"/>
    </mc:Choice>
  </mc:AlternateContent>
  <xr:revisionPtr revIDLastSave="0" documentId="8_{09EBE93F-F9CF-47A6-BCE1-484A47AFEF78}" xr6:coauthVersionLast="36" xr6:coauthVersionMax="36" xr10:uidLastSave="{00000000-0000-0000-0000-000000000000}"/>
  <bookViews>
    <workbookView xWindow="0" yWindow="0" windowWidth="23040" windowHeight="8364" tabRatio="692" activeTab="4" xr2:uid="{00000000-000D-0000-FFFF-FFFF00000000}"/>
  </bookViews>
  <sheets>
    <sheet name="Caratula" sheetId="14" r:id="rId1"/>
    <sheet name="Formato 01" sheetId="8" r:id="rId2"/>
    <sheet name="Formato 02A" sheetId="17" r:id="rId3"/>
    <sheet name="Formato 02B" sheetId="20" r:id="rId4"/>
    <sheet name="Formato 03" sheetId="2" r:id="rId5"/>
    <sheet name="xxxxxxxxxx" sheetId="19" state="hidden" r:id="rId6"/>
    <sheet name="Hoja1" sheetId="15" state="hidden" r:id="rId7"/>
  </sheets>
  <definedNames>
    <definedName name="_xlnm.Print_Area" localSheetId="0">Caratula!$A$1:$L$32</definedName>
    <definedName name="_xlnm.Print_Area" localSheetId="1">'Formato 01'!$B$2:$O$13</definedName>
  </definedNames>
  <calcPr calcId="191029"/>
</workbook>
</file>

<file path=xl/calcChain.xml><?xml version="1.0" encoding="utf-8"?>
<calcChain xmlns="http://schemas.openxmlformats.org/spreadsheetml/2006/main">
  <c r="J13" i="2" l="1"/>
  <c r="I13" i="2"/>
  <c r="O10" i="8" l="1"/>
  <c r="N10" i="8"/>
  <c r="M10" i="8"/>
  <c r="H18" i="2" l="1"/>
  <c r="H24" i="2" s="1"/>
  <c r="H26" i="2" s="1"/>
  <c r="G18" i="2"/>
  <c r="G24" i="2" s="1"/>
  <c r="G26" i="2" s="1"/>
  <c r="H15" i="2"/>
  <c r="G15" i="2"/>
  <c r="J15" i="2"/>
  <c r="I15" i="2"/>
  <c r="C13" i="20"/>
  <c r="J18" i="2" l="1"/>
  <c r="J24" i="2" s="1"/>
  <c r="J26" i="2" s="1"/>
  <c r="I18" i="2"/>
  <c r="I24" i="2" s="1"/>
  <c r="I26" i="2" s="1"/>
  <c r="J27" i="2" l="1"/>
  <c r="I27" i="2"/>
  <c r="H27" i="2"/>
  <c r="G27" i="2"/>
  <c r="C13" i="17"/>
  <c r="K27" i="2" l="1"/>
  <c r="K13" i="2" l="1"/>
  <c r="K15" i="2" l="1"/>
  <c r="K18" i="2"/>
  <c r="K24" i="2" s="1"/>
  <c r="K26" i="2" s="1"/>
  <c r="J28" i="2"/>
  <c r="I28" i="2"/>
  <c r="K28" i="2" l="1"/>
  <c r="E13" i="20" l="1"/>
  <c r="D7" i="2" l="1"/>
  <c r="D8" i="2"/>
  <c r="D9" i="2"/>
  <c r="D9" i="20" l="1"/>
  <c r="D8" i="20"/>
  <c r="D7" i="20"/>
  <c r="D9" i="17" l="1"/>
  <c r="D7" i="17"/>
  <c r="D8" i="17"/>
  <c r="E7" i="8"/>
  <c r="E6" i="8"/>
  <c r="E5" i="8"/>
  <c r="E3" i="19" l="1"/>
  <c r="F3" i="19" s="1"/>
  <c r="G3" i="19" s="1"/>
  <c r="E4" i="19"/>
  <c r="F4" i="19" s="1"/>
  <c r="G4" i="19" s="1"/>
  <c r="E5" i="19"/>
  <c r="F5" i="19" s="1"/>
  <c r="G5" i="19" s="1"/>
  <c r="E2" i="19"/>
  <c r="F2" i="19" s="1"/>
  <c r="G2" i="19" s="1"/>
  <c r="D3" i="19"/>
  <c r="D4" i="19"/>
  <c r="D5" i="19"/>
  <c r="D2" i="19"/>
  <c r="H13" i="17" l="1"/>
  <c r="M13" i="8" l="1"/>
  <c r="M12" i="8" l="1"/>
  <c r="I19" i="14"/>
  <c r="O12" i="8"/>
  <c r="N12" i="8"/>
  <c r="N11" i="8" s="1"/>
  <c r="H13" i="20"/>
  <c r="N13" i="8"/>
  <c r="O13" i="8"/>
  <c r="E13" i="17"/>
  <c r="I18" i="14" l="1"/>
  <c r="I17" i="14" l="1"/>
  <c r="K19" i="14"/>
  <c r="O11"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NILSER</author>
  </authors>
  <commentList>
    <comment ref="J7" authorId="0" shapeId="0" xr:uid="{00000000-0006-0000-0000-000001000000}">
      <text>
        <r>
          <rPr>
            <b/>
            <sz val="9"/>
            <color indexed="81"/>
            <rFont val="Tahoma"/>
            <family val="2"/>
          </rPr>
          <t>NILSER:</t>
        </r>
        <r>
          <rPr>
            <sz val="9"/>
            <color indexed="81"/>
            <rFont val="Tahoma"/>
            <family val="2"/>
          </rPr>
          <t xml:space="preserve">
RUC de la OA</t>
        </r>
      </text>
    </comment>
    <comment ref="L7" authorId="0" shapeId="0" xr:uid="{00000000-0006-0000-0000-000002000000}">
      <text>
        <r>
          <rPr>
            <b/>
            <sz val="9"/>
            <color indexed="81"/>
            <rFont val="Tahoma"/>
            <family val="2"/>
          </rPr>
          <t>NILSER:</t>
        </r>
        <r>
          <rPr>
            <sz val="9"/>
            <color indexed="81"/>
            <rFont val="Tahoma"/>
            <family val="2"/>
          </rPr>
          <t xml:space="preserve">
según plan de Negocios</t>
        </r>
      </text>
    </comment>
    <comment ref="L8" authorId="0" shapeId="0" xr:uid="{00000000-0006-0000-0000-000003000000}">
      <text>
        <r>
          <rPr>
            <b/>
            <sz val="9"/>
            <color indexed="81"/>
            <rFont val="Tahoma"/>
            <family val="2"/>
          </rPr>
          <t>NILSER:</t>
        </r>
        <r>
          <rPr>
            <sz val="9"/>
            <color indexed="81"/>
            <rFont val="Tahoma"/>
            <family val="2"/>
          </rPr>
          <t xml:space="preserve">
según plan de negocios</t>
        </r>
      </text>
    </comment>
    <comment ref="I13" authorId="0" shapeId="0" xr:uid="{00000000-0006-0000-0000-000004000000}">
      <text>
        <r>
          <rPr>
            <b/>
            <sz val="9"/>
            <color indexed="81"/>
            <rFont val="Tahoma"/>
            <family val="2"/>
          </rPr>
          <t>NILSER:</t>
        </r>
        <r>
          <rPr>
            <sz val="9"/>
            <color indexed="81"/>
            <rFont val="Tahoma"/>
            <family val="2"/>
          </rPr>
          <t xml:space="preserve">
llenar según aplicativo movil o dejar en blanco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NILSER</author>
  </authors>
  <commentList>
    <comment ref="C11" authorId="0" shapeId="0" xr:uid="{00000000-0006-0000-0400-000001000000}">
      <text>
        <r>
          <rPr>
            <b/>
            <sz val="9"/>
            <color indexed="81"/>
            <rFont val="Tahoma"/>
            <family val="2"/>
          </rPr>
          <t>NILSER:</t>
        </r>
        <r>
          <rPr>
            <sz val="9"/>
            <color indexed="81"/>
            <rFont val="Tahoma"/>
            <family val="2"/>
          </rPr>
          <t xml:space="preserve">
agregar indicadores según el Plan de ventas del PNT</t>
        </r>
      </text>
    </comment>
    <comment ref="B13" authorId="0" shapeId="0" xr:uid="{00000000-0006-0000-0400-000002000000}">
      <text>
        <r>
          <rPr>
            <b/>
            <sz val="9"/>
            <color indexed="81"/>
            <rFont val="Tahoma"/>
            <family val="2"/>
          </rPr>
          <t>NILSER:</t>
        </r>
        <r>
          <rPr>
            <sz val="9"/>
            <color indexed="81"/>
            <rFont val="Tahoma"/>
            <family val="2"/>
          </rPr>
          <t xml:space="preserve">
según plan de produccion del PNT</t>
        </r>
      </text>
    </comment>
    <comment ref="C13" authorId="0" shapeId="0" xr:uid="{00000000-0006-0000-0400-000003000000}">
      <text>
        <r>
          <rPr>
            <b/>
            <sz val="9"/>
            <color indexed="81"/>
            <rFont val="Tahoma"/>
            <family val="2"/>
          </rPr>
          <t>NILSER:</t>
        </r>
        <r>
          <rPr>
            <sz val="9"/>
            <color indexed="81"/>
            <rFont val="Tahoma"/>
            <family val="2"/>
          </rPr>
          <t xml:space="preserve">
según plan de ventas del PNT</t>
        </r>
      </text>
    </comment>
    <comment ref="L13" authorId="0" shapeId="0" xr:uid="{00000000-0006-0000-0400-000004000000}">
      <text>
        <r>
          <rPr>
            <b/>
            <sz val="9"/>
            <color indexed="81"/>
            <rFont val="Tahoma"/>
            <family val="2"/>
          </rPr>
          <t>NILSER:</t>
        </r>
        <r>
          <rPr>
            <sz val="9"/>
            <color indexed="81"/>
            <rFont val="Tahoma"/>
            <family val="2"/>
          </rPr>
          <t xml:space="preserve">
Registro de produccion de campo</t>
        </r>
      </text>
    </comment>
  </commentList>
</comments>
</file>

<file path=xl/sharedStrings.xml><?xml version="1.0" encoding="utf-8"?>
<sst xmlns="http://schemas.openxmlformats.org/spreadsheetml/2006/main" count="179" uniqueCount="131">
  <si>
    <t>Provincia</t>
  </si>
  <si>
    <t>Distrito</t>
  </si>
  <si>
    <t>Firma</t>
  </si>
  <si>
    <t>POA:</t>
  </si>
  <si>
    <t>RUC:</t>
  </si>
  <si>
    <t>Plan de Negocios:</t>
  </si>
  <si>
    <t>#</t>
  </si>
  <si>
    <t>Unidad de Medida</t>
  </si>
  <si>
    <t>%</t>
  </si>
  <si>
    <t>AGROIDEAS S/.</t>
  </si>
  <si>
    <t>OPA S/.</t>
  </si>
  <si>
    <t>Especificación del Bien / Servicio</t>
  </si>
  <si>
    <t>Cantidad</t>
  </si>
  <si>
    <t>Costo Unitario S/.</t>
  </si>
  <si>
    <t>TOTAL GENERAL</t>
  </si>
  <si>
    <t>Producto o Actividad:</t>
  </si>
  <si>
    <t>Nombre OA:</t>
  </si>
  <si>
    <t>N° de Convenio:</t>
  </si>
  <si>
    <t>Periodo de Trabajo:</t>
  </si>
  <si>
    <t>Nombre de la Organización:</t>
  </si>
  <si>
    <t>Localidad</t>
  </si>
  <si>
    <t>Coordenadas Geográficas</t>
  </si>
  <si>
    <t>Latitud</t>
  </si>
  <si>
    <t>Longitud</t>
  </si>
  <si>
    <t>AGROIDEAS (S/. )</t>
  </si>
  <si>
    <t>Total (S/. )</t>
  </si>
  <si>
    <t>Representante Legal de la OA</t>
  </si>
  <si>
    <t>N° Acta de CD:</t>
  </si>
  <si>
    <t>Departamento</t>
  </si>
  <si>
    <t>N° de Socios:</t>
  </si>
  <si>
    <t>Has según PN:</t>
  </si>
  <si>
    <t>Coordinador de la UR</t>
  </si>
  <si>
    <t xml:space="preserve">CO Financiamiento </t>
  </si>
  <si>
    <t>AÑO 0</t>
  </si>
  <si>
    <t>ACTIVIDAD</t>
  </si>
  <si>
    <t>Costo Total Aprobado S/.</t>
  </si>
  <si>
    <t>PARTICIPACIÓN PRESUPUESTAL</t>
  </si>
  <si>
    <t>PRESUPUESTO APROBADO EN EL PLAN DE NEGOCIO</t>
  </si>
  <si>
    <t>OA (S/. )</t>
  </si>
  <si>
    <t>dj HASTA K GRADO DE CCONSANGUIEDAD</t>
  </si>
  <si>
    <t>PC1</t>
  </si>
  <si>
    <t>PC2</t>
  </si>
  <si>
    <t>INFORMACIÓN GENERAL DEL PLAN DE NEGOCIO</t>
  </si>
  <si>
    <t>Jefatura de la UM</t>
  </si>
  <si>
    <t>FORMATO 01 - PLAN DE ADQUISICIONES DE EQUIPOS, INSUMOS Y SERVICIOS</t>
  </si>
  <si>
    <t>12 meses</t>
  </si>
  <si>
    <t>Fecha de Inicio</t>
  </si>
  <si>
    <t>Fecha de Fin</t>
  </si>
  <si>
    <t>GEOREFERENCIACIÓN DEL PLAN DE NEGOCIO</t>
  </si>
  <si>
    <t>MEDIO DE VERIFICACIÓN</t>
  </si>
  <si>
    <t>UNIDAD DE MEDIDA</t>
  </si>
  <si>
    <t>IMPACTO AMBIENTAL</t>
  </si>
  <si>
    <t>LINEA BASE</t>
  </si>
  <si>
    <t>META</t>
  </si>
  <si>
    <t>INFORMACIÓN GENERAL DEL PLAN OPERATIVO DEL PLAN DE NEGOCIOS DE ADOPCIÓN DE TECNOLOGÍA</t>
  </si>
  <si>
    <t>Nombre del Plan de Negocios:</t>
  </si>
  <si>
    <t xml:space="preserve">PLAN DE COFINANCIAMIENTO </t>
  </si>
  <si>
    <t xml:space="preserve">CRONOGRAMA DE EJECUCIÓN </t>
  </si>
  <si>
    <t>PC 01</t>
  </si>
  <si>
    <t>PC 02</t>
  </si>
  <si>
    <t>FORMATO 03 - INDICADORES DE SEGUIMIENTO Y MONITOREO DEL PLAN DE NEGOCIO</t>
  </si>
  <si>
    <t>OBJETIVO ESPECÍFICO</t>
  </si>
  <si>
    <t>META PN</t>
  </si>
  <si>
    <t>(3 años)</t>
  </si>
  <si>
    <t>META DEL POA</t>
  </si>
  <si>
    <t>Acumulado</t>
  </si>
  <si>
    <t>METAS DEL POA POR 
PASO CRÍTICO</t>
  </si>
  <si>
    <t>Porcentaje de Cofinanciamiento</t>
  </si>
  <si>
    <t>NOTA:
Los indicadores del presente formato, deberán estar expuestos y claramente sustentados dentro de los RTFs, así mismo, deberán estar directamente alineados a los indicadores del PNT.</t>
  </si>
  <si>
    <t>PASO CRÍTICO</t>
  </si>
  <si>
    <t>PRODUCTIVIDAD</t>
  </si>
  <si>
    <t>Objetivo Especifico / Actividad</t>
  </si>
  <si>
    <t>OBJETIVO ESPECIFICO</t>
  </si>
  <si>
    <t>INDICADOR</t>
  </si>
  <si>
    <t xml:space="preserve"> </t>
  </si>
  <si>
    <t>Informe</t>
  </si>
  <si>
    <t>TIPO</t>
  </si>
  <si>
    <t>TOTAL QQ</t>
  </si>
  <si>
    <t>QQ/HA</t>
  </si>
  <si>
    <t>HA</t>
  </si>
  <si>
    <t>KG/HA</t>
  </si>
  <si>
    <t>TOTAL KG</t>
  </si>
  <si>
    <t>TOTAL t</t>
  </si>
  <si>
    <t>Mes</t>
  </si>
  <si>
    <t>JORNALES</t>
  </si>
  <si>
    <t>Puno</t>
  </si>
  <si>
    <t>Soles</t>
  </si>
  <si>
    <t>I PC</t>
  </si>
  <si>
    <t>FORMATO 02A - PROGRAMACIÓN  FÍSICA DE ACTIVIDADES POR PASO CRITICO</t>
  </si>
  <si>
    <t>FORMATO 02B - PROGRAMACIÓN FINANCIERA DE ACTIVIDADES POR PASO CRITICO</t>
  </si>
  <si>
    <t>Equipamiento para la realización de labores culturales oportunas</t>
  </si>
  <si>
    <t xml:space="preserve">Actas de Asistencia del personal </t>
  </si>
  <si>
    <t>Actas de registro de producción</t>
  </si>
  <si>
    <t>Jornales (N° de Jornales Año)</t>
  </si>
  <si>
    <t xml:space="preserve">Coordinador del PNT </t>
  </si>
  <si>
    <t>Comprobantes de Venta</t>
  </si>
  <si>
    <t>Ingreso total (S/.)</t>
  </si>
  <si>
    <t>MES</t>
  </si>
  <si>
    <t>Sub Total 1.5.</t>
  </si>
  <si>
    <t>100-2023</t>
  </si>
  <si>
    <t>ASOCIACION DE PRODUCTORES AGROPECUARIOS MICROCUENCA NORTE RIO NUÑOA</t>
  </si>
  <si>
    <t>MEJORAMIENTO DEL MANEJO PRUDUCTIVO DE LA ALPACA</t>
  </si>
  <si>
    <t xml:space="preserve">Melgar </t>
  </si>
  <si>
    <t>Nuñoa</t>
  </si>
  <si>
    <t>Carabaya</t>
  </si>
  <si>
    <t>Fecha y Hora : 28/04/2025 05:20 p.m.</t>
  </si>
  <si>
    <r>
      <rPr>
        <b/>
        <sz val="7"/>
        <color rgb="FF000000"/>
        <rFont val="Arial"/>
        <family val="2"/>
      </rPr>
      <t>Modalidad:</t>
    </r>
    <r>
      <rPr>
        <sz val="7"/>
        <color rgb="FF000000"/>
        <rFont val="Arial"/>
        <family val="2"/>
      </rPr>
      <t xml:space="preserve"> servicio contratado por 12 meses. 
</t>
    </r>
    <r>
      <rPr>
        <b/>
        <sz val="7"/>
        <color rgb="FF000000"/>
        <rFont val="Arial"/>
        <family val="2"/>
      </rPr>
      <t>Perfil profesional</t>
    </r>
    <r>
      <rPr>
        <sz val="7"/>
        <color rgb="FF000000"/>
        <rFont val="Arial"/>
        <family val="2"/>
      </rPr>
      <t xml:space="preserve">
Profesional titulado en Medicina Veterinaria y Zootecnia, Ingeniero zootecnista, Ingeniero agrónomo 
</t>
    </r>
    <r>
      <rPr>
        <b/>
        <sz val="7"/>
        <color rgb="FF000000"/>
        <rFont val="Arial"/>
        <family val="2"/>
      </rPr>
      <t xml:space="preserve">Experiencia General: </t>
    </r>
    <r>
      <rPr>
        <sz val="7"/>
        <color rgb="FF000000"/>
        <rFont val="Arial"/>
        <family val="2"/>
      </rPr>
      <t xml:space="preserve"> seis (6) años en proyectos productivos de desarrollo pecuario
</t>
    </r>
    <r>
      <rPr>
        <b/>
        <sz val="7"/>
        <color rgb="FF000000"/>
        <rFont val="Arial"/>
        <family val="2"/>
      </rPr>
      <t>Expericiencia Específica:</t>
    </r>
    <r>
      <rPr>
        <sz val="7"/>
        <color rgb="FF000000"/>
        <rFont val="Arial"/>
        <family val="2"/>
      </rPr>
      <t xml:space="preserve"> Mínimo 3 años en la implementación de proyectos productivos de desarrollo alpaquero. Conocimiento del desarrollo de la cadena productiva de alpacas en infraestructura productiva, praderas nativas, sanidad animal, manejo de rebaño, manejo reproductivo, mejoramiento genético, campaña de acopio de fibra, gestión organizativa y articulación comercial
</t>
    </r>
    <r>
      <rPr>
        <b/>
        <sz val="7"/>
        <color rgb="FF000000"/>
        <rFont val="Arial"/>
        <family val="2"/>
      </rPr>
      <t xml:space="preserve">Idiomas: </t>
    </r>
    <r>
      <rPr>
        <sz val="7"/>
        <color rgb="FF000000"/>
        <rFont val="Arial"/>
        <family val="2"/>
      </rPr>
      <t xml:space="preserve">Castellano y de preferencia dominio de quechua
</t>
    </r>
    <r>
      <rPr>
        <b/>
        <sz val="7"/>
        <color rgb="FF000000"/>
        <rFont val="Arial"/>
        <family val="2"/>
      </rPr>
      <t xml:space="preserve">Funciones principales:
</t>
    </r>
    <r>
      <rPr>
        <sz val="7"/>
        <color rgb="FF000000"/>
        <rFont val="Arial"/>
        <family val="2"/>
      </rPr>
      <t>1. Valida y reconstruye la línea base de la organización
2. Vela por el cumplimiento de los objetivos y POA del PNT
3. Asesora y acompaña a la junta directiva en la adquisición de bienes y servicios
4. Elabora el calendario de manejo y sanitario para la organización
5. Elabora el Plan de Capacitación del PNT
6. Elabora el Plan de Asistencia Técnica
7. Desarrollo la asistencia técnica personalizada a cada beneficiario
8. Planifica e implementa las campañas técnicas de empadre controlado, parición, destete, selección y saca de animales.
9. Planifica y ejecuta las campañas sanitarias
10. Elabora los informes del RTF de la organización y validad por la directiva alcanza el programa
11. Elabora su informe mensual de trabajo a la presidencia de la organización para su validación gestión respectiva</t>
    </r>
  </si>
  <si>
    <t>1.4. Desarrollar capacidades para una eficiente  gestión comercial de organización</t>
  </si>
  <si>
    <t>Engorde y 
venta de alpacas en Pie</t>
  </si>
  <si>
    <t>Numero Cabezas (alpacas)</t>
  </si>
  <si>
    <t xml:space="preserve">Kg/Cabeza </t>
  </si>
  <si>
    <t>PRODUCCIÓN (Alpacas en engorde - peso inicial)</t>
  </si>
  <si>
    <t>Total / año</t>
  </si>
  <si>
    <t xml:space="preserve">Periodo de engorde/Días </t>
  </si>
  <si>
    <t>Rendimiento esperado en Kg/día</t>
  </si>
  <si>
    <t>PRODUCCIÓN (Alpacas en engorde - peso final)</t>
  </si>
  <si>
    <t>INGRESOS POR PESO CARCASA</t>
  </si>
  <si>
    <t>Animal en Pie (Kg) - Peso Carcasa</t>
  </si>
  <si>
    <t>Precio por Kg/S</t>
  </si>
  <si>
    <t xml:space="preserve">Ampliación de la oferta forralera Ha </t>
  </si>
  <si>
    <t>Costos de Producción S/ / alpaca</t>
  </si>
  <si>
    <t>Reducir el porcentaje de Motalidad al año</t>
  </si>
  <si>
    <t>Abonamiento de los campos de pastoreo con estiércol de las alpacas</t>
  </si>
  <si>
    <t>Informe de verificación</t>
  </si>
  <si>
    <t xml:space="preserve">Manejo y conservación de pastos naturañes </t>
  </si>
  <si>
    <t>012-2025-
MIDAGRI-AGROIDEAS</t>
  </si>
  <si>
    <t>POA 2</t>
  </si>
  <si>
    <t xml:space="preserve">POA 2: Presupuesto S/. </t>
  </si>
  <si>
    <t>02//10/2026</t>
  </si>
  <si>
    <t>SEGUNDO POA</t>
  </si>
  <si>
    <t>Incremento del periodo (kg/alpaca)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</si>
</sst>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quot;S/.&quot;\ * #,##0.00_ ;_ &quot;S/.&quot;\ * \-#,##0.00_ ;_ &quot;S/.&quot;\ * &quot;-&quot;??_ ;_ @_ "/>
  </numFmts>
  <fonts count="29" x14ac:knownFonts="1">
    <font>
      <sz val="11"/>
      <color rgb="FF000000"/>
      <name val="Calibri"/>
      <family val="2"/>
      <scheme val="minor"/>
    </font>
    <font>
      <sz val="11"/>
      <color theme="1"/>
      <name val="Calibri"/>
      <family val="2"/>
      <scheme val="minor"/>
    </font>
    <font>
      <sz val="11"/>
      <color theme="1"/>
      <name val="Calibri"/>
      <family val="2"/>
      <scheme val="minor"/>
    </font>
    <font>
      <sz val="11"/>
      <name val="Calibri"/>
      <family val="2"/>
    </font>
    <font>
      <b/>
      <sz val="8"/>
      <color rgb="FF000000"/>
      <name val="Arial"/>
      <family val="2"/>
    </font>
    <font>
      <sz val="8"/>
      <color rgb="FF000000"/>
      <name val="Arial"/>
      <family val="2"/>
    </font>
    <font>
      <b/>
      <sz val="16"/>
      <color rgb="FF365838"/>
      <name val="Arial"/>
      <family val="2"/>
    </font>
    <font>
      <b/>
      <sz val="9"/>
      <color rgb="FF365838"/>
      <name val="Arial"/>
      <family val="2"/>
    </font>
    <font>
      <sz val="9"/>
      <color rgb="FF000000"/>
      <name val="Arial"/>
      <family val="2"/>
    </font>
    <font>
      <b/>
      <sz val="8"/>
      <color rgb="FFFFFFFF"/>
      <name val="Arial"/>
      <family val="2"/>
    </font>
    <font>
      <b/>
      <sz val="7"/>
      <color rgb="FFFFFFFF"/>
      <name val="Arial"/>
      <family val="2"/>
    </font>
    <font>
      <sz val="7"/>
      <color rgb="FF000000"/>
      <name val="Arial"/>
      <family val="2"/>
    </font>
    <font>
      <sz val="9"/>
      <name val="Calibri"/>
      <family val="2"/>
    </font>
    <font>
      <b/>
      <sz val="9"/>
      <color rgb="FFFFFFFF"/>
      <name val="Arial"/>
      <family val="2"/>
    </font>
    <font>
      <sz val="8"/>
      <name val="Calibri"/>
      <family val="2"/>
    </font>
    <font>
      <sz val="8"/>
      <color theme="1"/>
      <name val="Arial"/>
      <family val="2"/>
    </font>
    <font>
      <b/>
      <sz val="8"/>
      <color theme="1"/>
      <name val="Arial"/>
      <family val="2"/>
    </font>
    <font>
      <b/>
      <sz val="8"/>
      <name val="Calibri"/>
      <family val="2"/>
    </font>
    <font>
      <b/>
      <sz val="12"/>
      <color rgb="FF365838"/>
      <name val="Arial"/>
      <family val="2"/>
    </font>
    <font>
      <b/>
      <sz val="7"/>
      <color rgb="FF000000"/>
      <name val="Arial"/>
      <family val="2"/>
    </font>
    <font>
      <b/>
      <u/>
      <sz val="9"/>
      <name val="Calibri"/>
      <family val="2"/>
    </font>
    <font>
      <sz val="8"/>
      <name val="Arial"/>
      <family val="2"/>
    </font>
    <font>
      <b/>
      <sz val="11"/>
      <color rgb="FF365838"/>
      <name val="Arial"/>
      <family val="2"/>
    </font>
    <font>
      <b/>
      <sz val="14"/>
      <color rgb="FF365838"/>
      <name val="Arial"/>
      <family val="2"/>
    </font>
    <font>
      <sz val="9"/>
      <color indexed="81"/>
      <name val="Tahoma"/>
      <family val="2"/>
    </font>
    <font>
      <b/>
      <sz val="9"/>
      <color indexed="81"/>
      <name val="Tahoma"/>
      <family val="2"/>
    </font>
    <font>
      <b/>
      <sz val="9"/>
      <color rgb="FF000000"/>
      <name val="Arial Narrow"/>
      <family val="2"/>
    </font>
    <font>
      <sz val="11"/>
      <color rgb="FF000000"/>
      <name val="Calibri"/>
      <family val="2"/>
      <scheme val="minor"/>
    </font>
    <font>
      <sz val="8"/>
      <name val="Calibri"/>
      <family val="2"/>
      <scheme val="minor"/>
    </font>
  </fonts>
  <fills count="11">
    <fill>
      <patternFill patternType="none"/>
    </fill>
    <fill>
      <patternFill patternType="gray125"/>
    </fill>
    <fill>
      <patternFill patternType="solid">
        <fgColor rgb="FF2E8B57"/>
        <bgColor rgb="FF2E8B57"/>
      </patternFill>
    </fill>
    <fill>
      <patternFill patternType="solid">
        <fgColor rgb="FF3CB371"/>
        <bgColor rgb="FF3CB371"/>
      </patternFill>
    </fill>
    <fill>
      <patternFill patternType="solid">
        <fgColor rgb="FF92D050"/>
        <bgColor rgb="FF3CB371"/>
      </patternFill>
    </fill>
    <fill>
      <patternFill patternType="solid">
        <fgColor theme="0"/>
        <bgColor indexed="64"/>
      </patternFill>
    </fill>
    <fill>
      <patternFill patternType="solid">
        <fgColor rgb="FFFF0000"/>
        <bgColor indexed="64"/>
      </patternFill>
    </fill>
    <fill>
      <patternFill patternType="solid">
        <fgColor rgb="FFFF0000"/>
        <bgColor rgb="FF2E8B57"/>
      </patternFill>
    </fill>
    <fill>
      <patternFill patternType="solid">
        <fgColor rgb="FFFFFF00"/>
        <bgColor indexed="64"/>
      </patternFill>
    </fill>
    <fill>
      <patternFill patternType="solid">
        <fgColor rgb="FFEAF1DD"/>
        <bgColor indexed="64"/>
      </patternFill>
    </fill>
    <fill>
      <patternFill patternType="solid">
        <fgColor rgb="FF009900"/>
        <bgColor indexed="64"/>
      </patternFill>
    </fill>
  </fills>
  <borders count="56">
    <border>
      <left/>
      <right/>
      <top/>
      <bottom/>
      <diagonal/>
    </border>
    <border>
      <left style="thin">
        <color rgb="FF00B050"/>
      </left>
      <right style="thin">
        <color rgb="FF00B050"/>
      </right>
      <top style="thin">
        <color rgb="FF00B050"/>
      </top>
      <bottom style="thin">
        <color rgb="FF00B050"/>
      </bottom>
      <diagonal/>
    </border>
    <border>
      <left style="thin">
        <color rgb="FF00B050"/>
      </left>
      <right/>
      <top style="thin">
        <color rgb="FF00B050"/>
      </top>
      <bottom style="thin">
        <color rgb="FF00B050"/>
      </bottom>
      <diagonal/>
    </border>
    <border>
      <left/>
      <right/>
      <top style="thin">
        <color rgb="FF00B050"/>
      </top>
      <bottom style="thin">
        <color rgb="FF00B050"/>
      </bottom>
      <diagonal/>
    </border>
    <border>
      <left/>
      <right style="thin">
        <color rgb="FF00B050"/>
      </right>
      <top style="thin">
        <color rgb="FF00B050"/>
      </top>
      <bottom style="thin">
        <color rgb="FF00B050"/>
      </bottom>
      <diagonal/>
    </border>
    <border>
      <left style="thin">
        <color rgb="FF00B050"/>
      </left>
      <right/>
      <top style="thin">
        <color rgb="FF00B050"/>
      </top>
      <bottom/>
      <diagonal/>
    </border>
    <border>
      <left/>
      <right/>
      <top style="thin">
        <color rgb="FF00B050"/>
      </top>
      <bottom/>
      <diagonal/>
    </border>
    <border>
      <left/>
      <right style="thin">
        <color rgb="FF00B050"/>
      </right>
      <top style="thin">
        <color rgb="FF00B050"/>
      </top>
      <bottom/>
      <diagonal/>
    </border>
    <border>
      <left style="thin">
        <color rgb="FF00B050"/>
      </left>
      <right/>
      <top/>
      <bottom/>
      <diagonal/>
    </border>
    <border>
      <left/>
      <right style="thin">
        <color rgb="FF00B050"/>
      </right>
      <top/>
      <bottom/>
      <diagonal/>
    </border>
    <border>
      <left style="thin">
        <color rgb="FF00B050"/>
      </left>
      <right/>
      <top/>
      <bottom style="thin">
        <color rgb="FF00B050"/>
      </bottom>
      <diagonal/>
    </border>
    <border>
      <left/>
      <right/>
      <top/>
      <bottom style="thin">
        <color rgb="FF00B050"/>
      </bottom>
      <diagonal/>
    </border>
    <border>
      <left/>
      <right style="thin">
        <color rgb="FF00B050"/>
      </right>
      <top/>
      <bottom style="thin">
        <color rgb="FF00B050"/>
      </bottom>
      <diagonal/>
    </border>
    <border>
      <left style="thin">
        <color rgb="FF00B050"/>
      </left>
      <right style="thin">
        <color rgb="FF00B050"/>
      </right>
      <top style="thin">
        <color rgb="FF00B050"/>
      </top>
      <bottom/>
      <diagonal/>
    </border>
    <border>
      <left style="thin">
        <color rgb="FF00B050"/>
      </left>
      <right style="thin">
        <color rgb="FF00B050"/>
      </right>
      <top/>
      <bottom style="thin">
        <color rgb="FF00B050"/>
      </bottom>
      <diagonal/>
    </border>
    <border>
      <left style="thin">
        <color indexed="64"/>
      </left>
      <right style="thin">
        <color indexed="64"/>
      </right>
      <top style="thin">
        <color indexed="64"/>
      </top>
      <bottom style="thin">
        <color indexed="64"/>
      </bottom>
      <diagonal/>
    </border>
    <border>
      <left style="medium">
        <color indexed="64"/>
      </left>
      <right style="thin">
        <color rgb="FF00B050"/>
      </right>
      <top style="thin">
        <color rgb="FF00B050"/>
      </top>
      <bottom style="medium">
        <color indexed="64"/>
      </bottom>
      <diagonal/>
    </border>
    <border>
      <left style="thin">
        <color rgb="FF00B050"/>
      </left>
      <right style="medium">
        <color indexed="64"/>
      </right>
      <top style="thin">
        <color rgb="FF00B050"/>
      </top>
      <bottom style="medium">
        <color indexed="64"/>
      </bottom>
      <diagonal/>
    </border>
    <border>
      <left style="medium">
        <color indexed="64"/>
      </left>
      <right style="medium">
        <color indexed="64"/>
      </right>
      <top style="medium">
        <color indexed="64"/>
      </top>
      <bottom/>
      <diagonal/>
    </border>
    <border>
      <left style="medium">
        <color indexed="64"/>
      </left>
      <right style="thin">
        <color rgb="FF00B050"/>
      </right>
      <top style="medium">
        <color indexed="64"/>
      </top>
      <bottom style="thin">
        <color rgb="FF00B050"/>
      </bottom>
      <diagonal/>
    </border>
    <border>
      <left style="thin">
        <color rgb="FF00B050"/>
      </left>
      <right style="medium">
        <color indexed="64"/>
      </right>
      <top style="medium">
        <color indexed="64"/>
      </top>
      <bottom style="thin">
        <color rgb="FF00B050"/>
      </bottom>
      <diagonal/>
    </border>
    <border>
      <left style="medium">
        <color indexed="64"/>
      </left>
      <right style="medium">
        <color indexed="64"/>
      </right>
      <top style="medium">
        <color indexed="64"/>
      </top>
      <bottom style="thin">
        <color rgb="FF00B050"/>
      </bottom>
      <diagonal/>
    </border>
    <border>
      <left style="medium">
        <color indexed="64"/>
      </left>
      <right style="thin">
        <color rgb="FF00B050"/>
      </right>
      <top/>
      <bottom style="thin">
        <color rgb="FF00B050"/>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rgb="FF00B050"/>
      </left>
      <right style="thin">
        <color rgb="FF00B050"/>
      </right>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rgb="FF00B050"/>
      </left>
      <right style="thin">
        <color rgb="FF00B050"/>
      </right>
      <top style="medium">
        <color indexed="64"/>
      </top>
      <bottom style="thin">
        <color rgb="FF00B050"/>
      </bottom>
      <diagonal/>
    </border>
    <border>
      <left/>
      <right style="thin">
        <color rgb="FF00B050"/>
      </right>
      <top style="medium">
        <color indexed="64"/>
      </top>
      <bottom style="thin">
        <color rgb="FF00B050"/>
      </bottom>
      <diagonal/>
    </border>
    <border>
      <left style="medium">
        <color indexed="64"/>
      </left>
      <right/>
      <top style="medium">
        <color indexed="64"/>
      </top>
      <bottom style="thin">
        <color rgb="FF00B050"/>
      </bottom>
      <diagonal/>
    </border>
    <border>
      <left style="thin">
        <color rgb="FF00B050"/>
      </left>
      <right style="medium">
        <color indexed="64"/>
      </right>
      <top/>
      <bottom style="thin">
        <color rgb="FF00B05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B050"/>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right style="medium">
        <color indexed="64"/>
      </right>
      <top style="medium">
        <color indexed="64"/>
      </top>
      <bottom style="thin">
        <color rgb="FF00B050"/>
      </bottom>
      <diagonal/>
    </border>
  </borders>
  <cellStyleXfs count="4">
    <xf numFmtId="0" fontId="0" fillId="0" borderId="0"/>
    <xf numFmtId="0" fontId="2" fillId="0" borderId="0"/>
    <xf numFmtId="0" fontId="1" fillId="0" borderId="0"/>
    <xf numFmtId="43" fontId="27" fillId="0" borderId="0" applyFont="0" applyFill="0" applyBorder="0" applyAlignment="0" applyProtection="0"/>
  </cellStyleXfs>
  <cellXfs count="200">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12" fillId="0" borderId="0" xfId="0" applyFont="1"/>
    <xf numFmtId="0" fontId="3" fillId="0" borderId="0" xfId="0" applyFont="1" applyAlignment="1">
      <alignment horizontal="left" vertical="center"/>
    </xf>
    <xf numFmtId="164" fontId="11" fillId="0" borderId="1" xfId="0" applyNumberFormat="1" applyFont="1" applyBorder="1" applyAlignment="1">
      <alignment horizontal="center" vertical="center" wrapText="1" readingOrder="1"/>
    </xf>
    <xf numFmtId="0" fontId="13" fillId="2" borderId="1" xfId="0" applyFont="1" applyFill="1" applyBorder="1" applyAlignment="1">
      <alignment horizontal="center" vertical="center" wrapText="1" readingOrder="1"/>
    </xf>
    <xf numFmtId="0" fontId="10" fillId="2" borderId="1" xfId="0" applyFont="1" applyFill="1" applyBorder="1" applyAlignment="1">
      <alignment horizontal="center" vertical="center" wrapText="1" readingOrder="1"/>
    </xf>
    <xf numFmtId="164" fontId="4" fillId="4" borderId="1" xfId="0" applyNumberFormat="1" applyFont="1" applyFill="1" applyBorder="1" applyAlignment="1">
      <alignment horizontal="center" vertical="center" wrapText="1" readingOrder="1"/>
    </xf>
    <xf numFmtId="164" fontId="5" fillId="3" borderId="1" xfId="0" applyNumberFormat="1" applyFont="1" applyFill="1" applyBorder="1" applyAlignment="1">
      <alignment horizontal="center" vertical="center" wrapText="1" readingOrder="1"/>
    </xf>
    <xf numFmtId="0" fontId="11" fillId="0" borderId="1" xfId="0" applyFont="1" applyBorder="1" applyAlignment="1">
      <alignment horizontal="center" vertical="center" wrapText="1" readingOrder="1"/>
    </xf>
    <xf numFmtId="0" fontId="14" fillId="0" borderId="0" xfId="0" applyFont="1" applyAlignment="1">
      <alignment horizontal="center" vertical="center"/>
    </xf>
    <xf numFmtId="0" fontId="2" fillId="0" borderId="0" xfId="1"/>
    <xf numFmtId="0" fontId="3" fillId="0" borderId="0" xfId="0" applyFont="1" applyAlignment="1">
      <alignment readingOrder="1"/>
    </xf>
    <xf numFmtId="0" fontId="14" fillId="0" borderId="0" xfId="0" applyFont="1"/>
    <xf numFmtId="0" fontId="17" fillId="0" borderId="0" xfId="0" applyFont="1" applyAlignment="1">
      <alignment horizontal="center" vertical="center"/>
    </xf>
    <xf numFmtId="0" fontId="5" fillId="0" borderId="0" xfId="0" applyFont="1" applyAlignment="1">
      <alignment horizontal="center" vertical="center" wrapText="1" readingOrder="1"/>
    </xf>
    <xf numFmtId="0" fontId="5" fillId="0" borderId="0" xfId="0" applyFont="1" applyAlignment="1">
      <alignment vertical="center" wrapText="1" readingOrder="1"/>
    </xf>
    <xf numFmtId="0" fontId="3" fillId="0" borderId="0" xfId="0" applyFont="1" applyAlignment="1">
      <alignment vertical="center" wrapText="1"/>
    </xf>
    <xf numFmtId="0" fontId="13" fillId="2" borderId="14" xfId="0" applyFont="1" applyFill="1" applyBorder="1" applyAlignment="1">
      <alignment horizontal="center" vertical="center" wrapText="1" readingOrder="1"/>
    </xf>
    <xf numFmtId="0" fontId="5" fillId="0" borderId="0" xfId="0" applyFont="1" applyAlignment="1">
      <alignment horizontal="left" vertical="center" wrapText="1" readingOrder="1"/>
    </xf>
    <xf numFmtId="0" fontId="8" fillId="0" borderId="0" xfId="0" applyFont="1" applyAlignment="1">
      <alignment horizontal="left" vertical="top" wrapText="1" readingOrder="1"/>
    </xf>
    <xf numFmtId="0" fontId="20" fillId="0" borderId="0" xfId="0" applyFont="1" applyAlignment="1">
      <alignment horizontal="left" vertical="center"/>
    </xf>
    <xf numFmtId="0" fontId="3" fillId="0" borderId="0" xfId="0" applyFont="1" applyAlignment="1">
      <alignment horizontal="center"/>
    </xf>
    <xf numFmtId="0" fontId="8" fillId="0" borderId="0" xfId="0" applyFont="1" applyAlignment="1">
      <alignment horizontal="center" vertical="top" wrapText="1" readingOrder="1"/>
    </xf>
    <xf numFmtId="0" fontId="3" fillId="0" borderId="0" xfId="0" applyFont="1" applyAlignment="1">
      <alignment horizontal="center" vertical="center" wrapText="1"/>
    </xf>
    <xf numFmtId="0" fontId="9" fillId="2" borderId="4" xfId="0" applyFont="1" applyFill="1" applyBorder="1" applyAlignment="1">
      <alignment horizontal="center" vertical="center" wrapText="1" readingOrder="1"/>
    </xf>
    <xf numFmtId="0" fontId="5" fillId="0" borderId="22" xfId="0" applyFont="1" applyBorder="1" applyAlignment="1">
      <alignment horizontal="center" vertical="center" wrapText="1" readingOrder="1"/>
    </xf>
    <xf numFmtId="9" fontId="4" fillId="4" borderId="1" xfId="0" applyNumberFormat="1" applyFont="1" applyFill="1" applyBorder="1" applyAlignment="1">
      <alignment horizontal="center" vertical="center" wrapText="1" readingOrder="1"/>
    </xf>
    <xf numFmtId="0" fontId="5" fillId="0" borderId="19" xfId="0" applyFont="1" applyBorder="1" applyAlignment="1">
      <alignment horizontal="left" vertical="center" wrapText="1" readingOrder="1"/>
    </xf>
    <xf numFmtId="0" fontId="5" fillId="0" borderId="21" xfId="0" applyFont="1" applyBorder="1" applyAlignment="1">
      <alignment horizontal="center" vertical="center" wrapText="1" readingOrder="1"/>
    </xf>
    <xf numFmtId="0" fontId="5" fillId="0" borderId="33" xfId="0" applyFont="1" applyBorder="1" applyAlignment="1">
      <alignment horizontal="center" vertical="center" wrapText="1" readingOrder="1"/>
    </xf>
    <xf numFmtId="0" fontId="5" fillId="0" borderId="20" xfId="0" applyFont="1" applyBorder="1" applyAlignment="1">
      <alignment horizontal="center" vertical="center" wrapText="1" readingOrder="1"/>
    </xf>
    <xf numFmtId="0" fontId="5" fillId="0" borderId="14" xfId="0" applyFont="1" applyBorder="1" applyAlignment="1">
      <alignment horizontal="center" vertical="center" wrapText="1" readingOrder="1"/>
    </xf>
    <xf numFmtId="0" fontId="8" fillId="0" borderId="0" xfId="0" applyFont="1" applyAlignment="1">
      <alignment vertical="top" wrapText="1" readingOrder="1"/>
    </xf>
    <xf numFmtId="0" fontId="5" fillId="0" borderId="34" xfId="0" applyFont="1" applyBorder="1" applyAlignment="1">
      <alignment horizontal="center" vertical="center" wrapText="1" readingOrder="1"/>
    </xf>
    <xf numFmtId="0" fontId="5" fillId="0" borderId="36" xfId="0" applyFont="1" applyBorder="1" applyAlignment="1">
      <alignment horizontal="center" vertical="center" wrapText="1" readingOrder="1"/>
    </xf>
    <xf numFmtId="0" fontId="5" fillId="0" borderId="35" xfId="0" applyFont="1" applyBorder="1" applyAlignment="1">
      <alignment horizontal="center" vertical="center" wrapText="1" readingOrder="1"/>
    </xf>
    <xf numFmtId="0" fontId="15" fillId="5" borderId="4" xfId="1" quotePrefix="1" applyFont="1" applyFill="1" applyBorder="1" applyAlignment="1">
      <alignment horizontal="center" vertical="center"/>
    </xf>
    <xf numFmtId="0" fontId="14" fillId="5" borderId="0" xfId="0" applyFont="1" applyFill="1" applyAlignment="1">
      <alignment horizontal="center" vertical="center"/>
    </xf>
    <xf numFmtId="0" fontId="15" fillId="5" borderId="1" xfId="1" applyFont="1" applyFill="1" applyBorder="1" applyAlignment="1">
      <alignment horizontal="center" vertical="center"/>
    </xf>
    <xf numFmtId="0" fontId="16" fillId="5" borderId="4" xfId="1" quotePrefix="1" applyFont="1" applyFill="1" applyBorder="1" applyAlignment="1">
      <alignment horizontal="left" vertical="center"/>
    </xf>
    <xf numFmtId="0" fontId="14" fillId="5" borderId="0" xfId="0" applyFont="1" applyFill="1"/>
    <xf numFmtId="0" fontId="20" fillId="5" borderId="0" xfId="0" applyFont="1" applyFill="1" applyAlignment="1">
      <alignment horizontal="left" vertical="center"/>
    </xf>
    <xf numFmtId="0" fontId="16" fillId="5" borderId="4" xfId="1" applyFont="1" applyFill="1" applyBorder="1" applyAlignment="1">
      <alignment horizontal="center" vertical="center"/>
    </xf>
    <xf numFmtId="0" fontId="17" fillId="5" borderId="0" xfId="0" applyFont="1" applyFill="1" applyAlignment="1">
      <alignment vertical="center"/>
    </xf>
    <xf numFmtId="10" fontId="16" fillId="5" borderId="1" xfId="1" applyNumberFormat="1" applyFont="1" applyFill="1" applyBorder="1" applyAlignment="1">
      <alignment horizontal="center" vertical="center"/>
    </xf>
    <xf numFmtId="10" fontId="15" fillId="5" borderId="1" xfId="1" applyNumberFormat="1" applyFont="1" applyFill="1" applyBorder="1" applyAlignment="1">
      <alignment horizontal="center" vertical="center"/>
    </xf>
    <xf numFmtId="0" fontId="17" fillId="5" borderId="15" xfId="0" applyFont="1" applyFill="1" applyBorder="1" applyAlignment="1">
      <alignment horizontal="center" vertical="center"/>
    </xf>
    <xf numFmtId="0" fontId="16" fillId="5" borderId="0" xfId="1" applyFont="1" applyFill="1" applyAlignment="1">
      <alignment horizontal="center" vertical="center"/>
    </xf>
    <xf numFmtId="17" fontId="15" fillId="5" borderId="0" xfId="1" applyNumberFormat="1" applyFont="1" applyFill="1" applyAlignment="1">
      <alignment horizontal="center" vertical="center"/>
    </xf>
    <xf numFmtId="0" fontId="15" fillId="5" borderId="0" xfId="1" quotePrefix="1" applyFont="1" applyFill="1" applyAlignment="1">
      <alignment horizontal="center" vertical="center"/>
    </xf>
    <xf numFmtId="0" fontId="15" fillId="5" borderId="0" xfId="1" applyFont="1" applyFill="1" applyAlignment="1">
      <alignment horizontal="center" vertical="center"/>
    </xf>
    <xf numFmtId="0" fontId="16" fillId="5" borderId="0" xfId="1" applyFont="1" applyFill="1" applyAlignment="1">
      <alignment horizontal="left" vertical="center"/>
    </xf>
    <xf numFmtId="4" fontId="16" fillId="5" borderId="0" xfId="1" applyNumberFormat="1" applyFont="1" applyFill="1" applyAlignment="1">
      <alignment horizontal="center" vertical="center"/>
    </xf>
    <xf numFmtId="10" fontId="16" fillId="5" borderId="0" xfId="1" applyNumberFormat="1" applyFont="1" applyFill="1" applyAlignment="1">
      <alignment horizontal="center" vertical="center"/>
    </xf>
    <xf numFmtId="0" fontId="15" fillId="5" borderId="5" xfId="1" applyFont="1" applyFill="1" applyBorder="1" applyAlignment="1">
      <alignment horizontal="center" vertical="center"/>
    </xf>
    <xf numFmtId="0" fontId="15" fillId="5" borderId="6" xfId="1" applyFont="1" applyFill="1" applyBorder="1" applyAlignment="1">
      <alignment horizontal="center" vertical="center"/>
    </xf>
    <xf numFmtId="0" fontId="15" fillId="5" borderId="7" xfId="1" applyFont="1" applyFill="1" applyBorder="1" applyAlignment="1">
      <alignment horizontal="center" vertical="center"/>
    </xf>
    <xf numFmtId="0" fontId="15" fillId="5" borderId="8" xfId="1" applyFont="1" applyFill="1" applyBorder="1" applyAlignment="1">
      <alignment horizontal="center" vertical="center"/>
    </xf>
    <xf numFmtId="0" fontId="15" fillId="5" borderId="9" xfId="1" applyFont="1" applyFill="1" applyBorder="1" applyAlignment="1">
      <alignment horizontal="center" vertical="center"/>
    </xf>
    <xf numFmtId="0" fontId="15" fillId="5" borderId="10" xfId="1" applyFont="1" applyFill="1" applyBorder="1" applyAlignment="1">
      <alignment horizontal="center" vertical="center"/>
    </xf>
    <xf numFmtId="0" fontId="15" fillId="5" borderId="11" xfId="1" applyFont="1" applyFill="1" applyBorder="1" applyAlignment="1">
      <alignment horizontal="center" vertical="center"/>
    </xf>
    <xf numFmtId="0" fontId="15" fillId="5" borderId="12" xfId="1" applyFont="1" applyFill="1" applyBorder="1" applyAlignment="1">
      <alignment horizontal="center" vertical="center"/>
    </xf>
    <xf numFmtId="0" fontId="7" fillId="0" borderId="0" xfId="0" applyFont="1" applyAlignment="1">
      <alignment horizontal="left" vertical="top" wrapText="1" readingOrder="1"/>
    </xf>
    <xf numFmtId="0" fontId="9" fillId="2" borderId="1" xfId="0" applyFont="1" applyFill="1" applyBorder="1" applyAlignment="1">
      <alignment horizontal="center" vertical="center" wrapText="1" readingOrder="1"/>
    </xf>
    <xf numFmtId="0" fontId="9" fillId="2" borderId="13" xfId="0" applyFont="1" applyFill="1" applyBorder="1" applyAlignment="1">
      <alignment horizontal="center" vertical="center" wrapText="1" readingOrder="1"/>
    </xf>
    <xf numFmtId="0" fontId="5" fillId="0" borderId="30" xfId="0" applyFont="1" applyBorder="1" applyAlignment="1">
      <alignment horizontal="center" vertical="center" wrapText="1" readingOrder="1"/>
    </xf>
    <xf numFmtId="0" fontId="5" fillId="0" borderId="31" xfId="0" applyFont="1" applyBorder="1" applyAlignment="1">
      <alignment horizontal="center" vertical="center" wrapText="1" readingOrder="1"/>
    </xf>
    <xf numFmtId="4" fontId="5" fillId="5" borderId="15" xfId="0" applyNumberFormat="1" applyFont="1" applyFill="1" applyBorder="1" applyAlignment="1">
      <alignment horizontal="center" vertical="center" wrapText="1" readingOrder="1"/>
    </xf>
    <xf numFmtId="0" fontId="5" fillId="0" borderId="23" xfId="0" applyFont="1" applyBorder="1" applyAlignment="1">
      <alignment vertical="center" wrapText="1" readingOrder="1"/>
    </xf>
    <xf numFmtId="0" fontId="5" fillId="0" borderId="37" xfId="0" applyFont="1" applyBorder="1" applyAlignment="1">
      <alignment vertical="center" wrapText="1" readingOrder="1"/>
    </xf>
    <xf numFmtId="4" fontId="5" fillId="5" borderId="38" xfId="0" applyNumberFormat="1" applyFont="1" applyFill="1" applyBorder="1" applyAlignment="1">
      <alignment horizontal="center" vertical="center" wrapText="1" readingOrder="1"/>
    </xf>
    <xf numFmtId="0" fontId="5" fillId="5" borderId="39" xfId="0" applyFont="1" applyFill="1" applyBorder="1" applyAlignment="1">
      <alignment horizontal="center" vertical="center" wrapText="1" readingOrder="1"/>
    </xf>
    <xf numFmtId="4" fontId="5" fillId="5" borderId="39" xfId="0" applyNumberFormat="1" applyFont="1" applyFill="1" applyBorder="1" applyAlignment="1">
      <alignment horizontal="center" vertical="center" wrapText="1" readingOrder="1"/>
    </xf>
    <xf numFmtId="0" fontId="5" fillId="5" borderId="40" xfId="0" applyFont="1" applyFill="1" applyBorder="1" applyAlignment="1">
      <alignment horizontal="left" vertical="center" wrapText="1" readingOrder="1"/>
    </xf>
    <xf numFmtId="0" fontId="5" fillId="5" borderId="41" xfId="0" applyFont="1" applyFill="1" applyBorder="1" applyAlignment="1">
      <alignment horizontal="left" vertical="center" wrapText="1" readingOrder="1"/>
    </xf>
    <xf numFmtId="0" fontId="5" fillId="0" borderId="42" xfId="0" applyFont="1" applyBorder="1" applyAlignment="1">
      <alignment horizontal="center" vertical="center" wrapText="1" readingOrder="1"/>
    </xf>
    <xf numFmtId="0" fontId="5" fillId="5" borderId="17" xfId="0" applyFont="1" applyFill="1" applyBorder="1" applyAlignment="1">
      <alignment horizontal="left" vertical="center" wrapText="1" readingOrder="1"/>
    </xf>
    <xf numFmtId="0" fontId="5" fillId="5" borderId="43" xfId="0" applyFont="1" applyFill="1" applyBorder="1" applyAlignment="1">
      <alignment horizontal="center" vertical="center" wrapText="1" readingOrder="1"/>
    </xf>
    <xf numFmtId="0" fontId="5" fillId="5" borderId="45" xfId="0" applyFont="1" applyFill="1" applyBorder="1" applyAlignment="1">
      <alignment horizontal="left" vertical="center" wrapText="1" readingOrder="1"/>
    </xf>
    <xf numFmtId="0" fontId="5" fillId="0" borderId="15" xfId="0" applyFont="1" applyBorder="1" applyAlignment="1">
      <alignment horizontal="center" vertical="center" wrapText="1" readingOrder="1"/>
    </xf>
    <xf numFmtId="2" fontId="5" fillId="0" borderId="44" xfId="0" applyNumberFormat="1" applyFont="1" applyBorder="1" applyAlignment="1">
      <alignment horizontal="center" vertical="center" wrapText="1" readingOrder="1"/>
    </xf>
    <xf numFmtId="43" fontId="5" fillId="0" borderId="37" xfId="3" applyFont="1" applyFill="1" applyBorder="1" applyAlignment="1">
      <alignment horizontal="center" vertical="center" wrapText="1" readingOrder="1"/>
    </xf>
    <xf numFmtId="43" fontId="5" fillId="0" borderId="14" xfId="3" applyFont="1" applyFill="1" applyBorder="1" applyAlignment="1">
      <alignment horizontal="center" vertical="center" wrapText="1" readingOrder="1"/>
    </xf>
    <xf numFmtId="43" fontId="5" fillId="0" borderId="33" xfId="3" applyFont="1" applyFill="1" applyBorder="1" applyAlignment="1">
      <alignment horizontal="center" vertical="center" wrapText="1" readingOrder="1"/>
    </xf>
    <xf numFmtId="43" fontId="5" fillId="0" borderId="20" xfId="3" applyFont="1" applyFill="1" applyBorder="1" applyAlignment="1">
      <alignment horizontal="center" vertical="center" wrapText="1" readingOrder="1"/>
    </xf>
    <xf numFmtId="43" fontId="5" fillId="0" borderId="36" xfId="3" applyFont="1" applyFill="1" applyBorder="1" applyAlignment="1">
      <alignment horizontal="center" vertical="center" wrapText="1" readingOrder="1"/>
    </xf>
    <xf numFmtId="43" fontId="5" fillId="0" borderId="34" xfId="3" applyFont="1" applyFill="1" applyBorder="1" applyAlignment="1">
      <alignment horizontal="center" vertical="center" wrapText="1" readingOrder="1"/>
    </xf>
    <xf numFmtId="0" fontId="5" fillId="5" borderId="38" xfId="0" applyFont="1" applyFill="1" applyBorder="1" applyAlignment="1">
      <alignment horizontal="center" vertical="center" wrapText="1" readingOrder="1"/>
    </xf>
    <xf numFmtId="17" fontId="3" fillId="10" borderId="46" xfId="0" applyNumberFormat="1" applyFont="1" applyFill="1" applyBorder="1"/>
    <xf numFmtId="0" fontId="15" fillId="0" borderId="50" xfId="0" applyFont="1" applyBorder="1" applyAlignment="1">
      <alignment horizontal="center" vertical="center" wrapText="1" readingOrder="1"/>
    </xf>
    <xf numFmtId="4" fontId="5" fillId="5" borderId="50" xfId="0" applyNumberFormat="1" applyFont="1" applyFill="1" applyBorder="1" applyAlignment="1">
      <alignment horizontal="center" vertical="center" wrapText="1" readingOrder="1"/>
    </xf>
    <xf numFmtId="0" fontId="15" fillId="5" borderId="1" xfId="1" applyFont="1" applyFill="1" applyBorder="1" applyAlignment="1">
      <alignment horizontal="center" vertical="center" wrapText="1"/>
    </xf>
    <xf numFmtId="0" fontId="3" fillId="0" borderId="0" xfId="0" applyFont="1" applyAlignment="1">
      <alignment vertical="center"/>
    </xf>
    <xf numFmtId="0" fontId="5" fillId="0" borderId="31" xfId="0" applyFont="1" applyBorder="1" applyAlignment="1">
      <alignment horizontal="center" vertical="center" wrapText="1" readingOrder="1"/>
    </xf>
    <xf numFmtId="0" fontId="5" fillId="5" borderId="47" xfId="0" applyFont="1" applyFill="1" applyBorder="1" applyAlignment="1">
      <alignment horizontal="center" vertical="center" wrapText="1" readingOrder="1"/>
    </xf>
    <xf numFmtId="0" fontId="5" fillId="8" borderId="44" xfId="0" applyFont="1" applyFill="1" applyBorder="1" applyAlignment="1">
      <alignment horizontal="center" vertical="center" wrapText="1" readingOrder="1"/>
    </xf>
    <xf numFmtId="0" fontId="5" fillId="5" borderId="54" xfId="0" applyFont="1" applyFill="1" applyBorder="1" applyAlignment="1">
      <alignment horizontal="center" vertical="center" wrapText="1" readingOrder="1"/>
    </xf>
    <xf numFmtId="9" fontId="5" fillId="5" borderId="38" xfId="0" applyNumberFormat="1" applyFont="1" applyFill="1" applyBorder="1" applyAlignment="1">
      <alignment horizontal="center" vertical="center" wrapText="1" readingOrder="1"/>
    </xf>
    <xf numFmtId="9" fontId="5" fillId="0" borderId="48" xfId="0" applyNumberFormat="1" applyFont="1" applyBorder="1" applyAlignment="1">
      <alignment horizontal="center" vertical="center" wrapText="1" readingOrder="1"/>
    </xf>
    <xf numFmtId="9" fontId="5" fillId="0" borderId="38" xfId="0" applyNumberFormat="1" applyFont="1" applyBorder="1" applyAlignment="1">
      <alignment horizontal="center" vertical="center" wrapText="1" readingOrder="1"/>
    </xf>
    <xf numFmtId="0" fontId="11" fillId="6" borderId="18" xfId="0" applyFont="1" applyFill="1" applyBorder="1" applyAlignment="1">
      <alignment horizontal="center" vertical="center" wrapText="1" readingOrder="1"/>
    </xf>
    <xf numFmtId="43" fontId="5" fillId="0" borderId="22" xfId="3" applyFont="1" applyBorder="1" applyAlignment="1">
      <alignment horizontal="center" vertical="center" wrapText="1" readingOrder="1"/>
    </xf>
    <xf numFmtId="43" fontId="5" fillId="0" borderId="14" xfId="3" applyFont="1" applyBorder="1" applyAlignment="1">
      <alignment horizontal="center" vertical="center" wrapText="1" readingOrder="1"/>
    </xf>
    <xf numFmtId="0" fontId="18" fillId="0" borderId="0" xfId="0" applyFont="1" applyAlignment="1">
      <alignment horizontal="center" vertical="center" wrapText="1" readingOrder="1"/>
    </xf>
    <xf numFmtId="0" fontId="17" fillId="5" borderId="15" xfId="0" applyFont="1" applyFill="1" applyBorder="1" applyAlignment="1">
      <alignment horizontal="center" vertical="center"/>
    </xf>
    <xf numFmtId="14" fontId="15" fillId="5" borderId="15" xfId="1" applyNumberFormat="1" applyFont="1" applyFill="1" applyBorder="1" applyAlignment="1">
      <alignment horizontal="center" vertical="center"/>
    </xf>
    <xf numFmtId="0" fontId="15" fillId="8" borderId="1" xfId="1" applyFont="1" applyFill="1" applyBorder="1" applyAlignment="1">
      <alignment horizontal="center" vertical="center"/>
    </xf>
    <xf numFmtId="0" fontId="15" fillId="5" borderId="2" xfId="1" applyFont="1" applyFill="1" applyBorder="1" applyAlignment="1">
      <alignment horizontal="center" vertical="center"/>
    </xf>
    <xf numFmtId="0" fontId="15" fillId="5" borderId="4" xfId="1" applyFont="1" applyFill="1" applyBorder="1" applyAlignment="1">
      <alignment horizontal="center" vertical="center"/>
    </xf>
    <xf numFmtId="0" fontId="16" fillId="5" borderId="1" xfId="1" applyFont="1" applyFill="1" applyBorder="1" applyAlignment="1">
      <alignment horizontal="center" vertical="center"/>
    </xf>
    <xf numFmtId="0" fontId="15" fillId="5" borderId="1" xfId="1" applyFont="1" applyFill="1" applyBorder="1" applyAlignment="1">
      <alignment horizontal="center" vertical="center"/>
    </xf>
    <xf numFmtId="0" fontId="16" fillId="5" borderId="2" xfId="1" applyFont="1" applyFill="1" applyBorder="1" applyAlignment="1">
      <alignment horizontal="center" vertical="center"/>
    </xf>
    <xf numFmtId="0" fontId="16" fillId="5" borderId="4" xfId="1" applyFont="1" applyFill="1" applyBorder="1" applyAlignment="1">
      <alignment horizontal="center" vertical="center"/>
    </xf>
    <xf numFmtId="0" fontId="16" fillId="5" borderId="2" xfId="1" applyFont="1" applyFill="1" applyBorder="1" applyAlignment="1">
      <alignment horizontal="center" vertical="center" wrapText="1"/>
    </xf>
    <xf numFmtId="0" fontId="15" fillId="5" borderId="1" xfId="1" applyFont="1" applyFill="1" applyBorder="1" applyAlignment="1">
      <alignment horizontal="center" vertical="center" wrapText="1"/>
    </xf>
    <xf numFmtId="0" fontId="16" fillId="8" borderId="1" xfId="1" applyFont="1" applyFill="1" applyBorder="1" applyAlignment="1">
      <alignment horizontal="center" vertical="center"/>
    </xf>
    <xf numFmtId="4" fontId="15" fillId="5" borderId="2" xfId="1" applyNumberFormat="1" applyFont="1" applyFill="1" applyBorder="1" applyAlignment="1">
      <alignment horizontal="center" vertical="center"/>
    </xf>
    <xf numFmtId="4" fontId="15" fillId="5" borderId="4" xfId="1" applyNumberFormat="1" applyFont="1" applyFill="1" applyBorder="1" applyAlignment="1">
      <alignment horizontal="center" vertical="center"/>
    </xf>
    <xf numFmtId="4" fontId="16" fillId="5" borderId="2" xfId="1" applyNumberFormat="1" applyFont="1" applyFill="1" applyBorder="1" applyAlignment="1">
      <alignment horizontal="center" vertical="center"/>
    </xf>
    <xf numFmtId="4" fontId="16" fillId="5" borderId="4" xfId="1" applyNumberFormat="1" applyFont="1" applyFill="1" applyBorder="1" applyAlignment="1">
      <alignment horizontal="center" vertical="center"/>
    </xf>
    <xf numFmtId="0" fontId="16" fillId="5" borderId="3" xfId="1" applyFont="1" applyFill="1" applyBorder="1" applyAlignment="1">
      <alignment horizontal="center" vertical="center"/>
    </xf>
    <xf numFmtId="0" fontId="16" fillId="5" borderId="2" xfId="1" applyFont="1" applyFill="1" applyBorder="1" applyAlignment="1">
      <alignment horizontal="left" vertical="center"/>
    </xf>
    <xf numFmtId="0" fontId="16" fillId="5" borderId="4" xfId="1" applyFont="1" applyFill="1" applyBorder="1" applyAlignment="1">
      <alignment horizontal="left" vertical="center"/>
    </xf>
    <xf numFmtId="0" fontId="16" fillId="5" borderId="3" xfId="1" applyFont="1" applyFill="1" applyBorder="1" applyAlignment="1">
      <alignment horizontal="center" vertical="center" wrapText="1"/>
    </xf>
    <xf numFmtId="0" fontId="16" fillId="5" borderId="4" xfId="1" applyFont="1" applyFill="1" applyBorder="1" applyAlignment="1">
      <alignment horizontal="center" vertical="center" wrapText="1"/>
    </xf>
    <xf numFmtId="0" fontId="21" fillId="5" borderId="2" xfId="1" applyFont="1" applyFill="1" applyBorder="1" applyAlignment="1">
      <alignment horizontal="center" vertical="center" wrapText="1"/>
    </xf>
    <xf numFmtId="0" fontId="21" fillId="5" borderId="3" xfId="1" applyFont="1" applyFill="1" applyBorder="1" applyAlignment="1">
      <alignment horizontal="center" vertical="center" wrapText="1"/>
    </xf>
    <xf numFmtId="0" fontId="21" fillId="5" borderId="4" xfId="1" applyFont="1" applyFill="1" applyBorder="1" applyAlignment="1">
      <alignment horizontal="center" vertical="center" wrapText="1"/>
    </xf>
    <xf numFmtId="0" fontId="16" fillId="5" borderId="5" xfId="1" applyFont="1" applyFill="1" applyBorder="1" applyAlignment="1">
      <alignment horizontal="center" vertical="center"/>
    </xf>
    <xf numFmtId="0" fontId="16" fillId="5" borderId="7" xfId="1" applyFont="1" applyFill="1" applyBorder="1" applyAlignment="1">
      <alignment horizontal="center" vertical="center"/>
    </xf>
    <xf numFmtId="0" fontId="16" fillId="5" borderId="3" xfId="1" applyFont="1" applyFill="1" applyBorder="1" applyAlignment="1">
      <alignment horizontal="left" vertical="center"/>
    </xf>
    <xf numFmtId="0" fontId="3" fillId="0" borderId="0" xfId="0" applyFont="1"/>
    <xf numFmtId="0" fontId="7" fillId="0" borderId="0" xfId="0" applyFont="1" applyAlignment="1">
      <alignment vertical="center" wrapText="1" readingOrder="1"/>
    </xf>
    <xf numFmtId="0" fontId="3" fillId="0" borderId="0" xfId="0" applyFont="1" applyAlignment="1">
      <alignment vertical="center"/>
    </xf>
    <xf numFmtId="0" fontId="8" fillId="0" borderId="0" xfId="0" applyFont="1" applyAlignment="1">
      <alignment vertical="center" wrapText="1" readingOrder="1"/>
    </xf>
    <xf numFmtId="0" fontId="8" fillId="0" borderId="0" xfId="0" applyFont="1" applyAlignment="1">
      <alignment horizontal="left" vertical="center" wrapText="1" readingOrder="1"/>
    </xf>
    <xf numFmtId="0" fontId="3" fillId="0" borderId="0" xfId="0" applyFont="1" applyAlignment="1">
      <alignment horizontal="left" vertical="center"/>
    </xf>
    <xf numFmtId="0" fontId="6" fillId="0" borderId="0" xfId="0" applyFont="1" applyAlignment="1">
      <alignment horizontal="left" vertical="center" wrapText="1" readingOrder="1"/>
    </xf>
    <xf numFmtId="0" fontId="5" fillId="0" borderId="0" xfId="0" applyFont="1" applyAlignment="1">
      <alignment horizontal="left" vertical="center" wrapText="1" readingOrder="1"/>
    </xf>
    <xf numFmtId="0" fontId="7" fillId="0" borderId="0" xfId="0" applyFont="1" applyAlignment="1">
      <alignment horizontal="left" vertical="center" wrapText="1" readingOrder="1"/>
    </xf>
    <xf numFmtId="0" fontId="13" fillId="2" borderId="0" xfId="0" applyFont="1" applyFill="1" applyAlignment="1">
      <alignment horizontal="center" vertical="center" wrapText="1" readingOrder="1"/>
    </xf>
    <xf numFmtId="0" fontId="13" fillId="2" borderId="9" xfId="0" applyFont="1" applyFill="1" applyBorder="1" applyAlignment="1">
      <alignment horizontal="center" vertical="center" wrapText="1" readingOrder="1"/>
    </xf>
    <xf numFmtId="0" fontId="13" fillId="2" borderId="11" xfId="0" applyFont="1" applyFill="1" applyBorder="1" applyAlignment="1">
      <alignment horizontal="center" vertical="center" wrapText="1" readingOrder="1"/>
    </xf>
    <xf numFmtId="0" fontId="13" fillId="2" borderId="12" xfId="0" applyFont="1" applyFill="1" applyBorder="1" applyAlignment="1">
      <alignment horizontal="center" vertical="center" wrapText="1" readingOrder="1"/>
    </xf>
    <xf numFmtId="0" fontId="5" fillId="3" borderId="1" xfId="0" applyFont="1" applyFill="1" applyBorder="1" applyAlignment="1">
      <alignment horizontal="center" vertical="center" readingOrder="1"/>
    </xf>
    <xf numFmtId="0" fontId="11" fillId="0" borderId="1" xfId="0" applyFont="1" applyBorder="1" applyAlignment="1">
      <alignment horizontal="center" vertical="center" wrapText="1" readingOrder="1"/>
    </xf>
    <xf numFmtId="0" fontId="11" fillId="0" borderId="1" xfId="0" applyFont="1" applyBorder="1" applyAlignment="1">
      <alignment horizontal="left" vertical="center" wrapText="1" readingOrder="1"/>
    </xf>
    <xf numFmtId="0" fontId="3" fillId="0" borderId="1" xfId="0" applyFont="1" applyBorder="1" applyAlignment="1">
      <alignment horizontal="left" vertical="center" wrapText="1"/>
    </xf>
    <xf numFmtId="0" fontId="5" fillId="3" borderId="1" xfId="0" applyFont="1" applyFill="1" applyBorder="1" applyAlignment="1">
      <alignment horizontal="left" vertical="center" readingOrder="1"/>
    </xf>
    <xf numFmtId="0" fontId="13" fillId="2" borderId="10" xfId="0" applyFont="1" applyFill="1" applyBorder="1" applyAlignment="1">
      <alignment horizontal="center" vertical="center" wrapText="1" readingOrder="1"/>
    </xf>
    <xf numFmtId="0" fontId="4" fillId="4" borderId="5" xfId="0" applyFont="1" applyFill="1" applyBorder="1" applyAlignment="1">
      <alignment horizontal="center" vertical="center" wrapText="1" readingOrder="1"/>
    </xf>
    <xf numFmtId="0" fontId="4" fillId="4" borderId="6" xfId="0" applyFont="1" applyFill="1" applyBorder="1" applyAlignment="1">
      <alignment horizontal="center" vertical="center" wrapText="1" readingOrder="1"/>
    </xf>
    <xf numFmtId="0" fontId="4" fillId="4" borderId="7" xfId="0" applyFont="1" applyFill="1" applyBorder="1" applyAlignment="1">
      <alignment horizontal="center" vertical="center" wrapText="1" readingOrder="1"/>
    </xf>
    <xf numFmtId="0" fontId="4" fillId="4" borderId="10" xfId="0" applyFont="1" applyFill="1" applyBorder="1" applyAlignment="1">
      <alignment horizontal="center" vertical="center" wrapText="1" readingOrder="1"/>
    </xf>
    <xf numFmtId="0" fontId="4" fillId="4" borderId="11" xfId="0" applyFont="1" applyFill="1" applyBorder="1" applyAlignment="1">
      <alignment horizontal="center" vertical="center" wrapText="1" readingOrder="1"/>
    </xf>
    <xf numFmtId="0" fontId="4" fillId="4" borderId="12" xfId="0" applyFont="1" applyFill="1" applyBorder="1" applyAlignment="1">
      <alignment horizontal="center" vertical="center" wrapText="1" readingOrder="1"/>
    </xf>
    <xf numFmtId="0" fontId="7" fillId="0" borderId="0" xfId="0" applyFont="1" applyAlignment="1">
      <alignment vertical="top" wrapText="1" readingOrder="1"/>
    </xf>
    <xf numFmtId="0" fontId="23" fillId="0" borderId="0" xfId="0" applyFont="1" applyAlignment="1">
      <alignment horizontal="left" vertical="center" wrapText="1" readingOrder="1"/>
    </xf>
    <xf numFmtId="0" fontId="8" fillId="0" borderId="0" xfId="0" applyFont="1" applyAlignment="1">
      <alignment horizontal="left" vertical="top" wrapText="1" readingOrder="1"/>
    </xf>
    <xf numFmtId="0" fontId="7" fillId="0" borderId="0" xfId="0" applyFont="1" applyAlignment="1">
      <alignment horizontal="left" vertical="top" wrapText="1" readingOrder="1"/>
    </xf>
    <xf numFmtId="0" fontId="9" fillId="7" borderId="18" xfId="0" applyFont="1" applyFill="1" applyBorder="1" applyAlignment="1">
      <alignment horizontal="center" vertical="center" wrapText="1" readingOrder="1"/>
    </xf>
    <xf numFmtId="0" fontId="9" fillId="7" borderId="23" xfId="0" applyFont="1" applyFill="1" applyBorder="1" applyAlignment="1">
      <alignment horizontal="center" vertical="center" wrapText="1" readingOrder="1"/>
    </xf>
    <xf numFmtId="0" fontId="9" fillId="2" borderId="19" xfId="0" applyFont="1" applyFill="1" applyBorder="1" applyAlignment="1">
      <alignment horizontal="center" vertical="center" wrapText="1" readingOrder="1"/>
    </xf>
    <xf numFmtId="0" fontId="9" fillId="2" borderId="20" xfId="0" applyFont="1" applyFill="1" applyBorder="1" applyAlignment="1">
      <alignment horizontal="center" vertical="center" wrapText="1" readingOrder="1"/>
    </xf>
    <xf numFmtId="0" fontId="9" fillId="2" borderId="16" xfId="0" applyFont="1" applyFill="1" applyBorder="1" applyAlignment="1">
      <alignment horizontal="center" vertical="center" wrapText="1" readingOrder="1"/>
    </xf>
    <xf numFmtId="0" fontId="9" fillId="2" borderId="17" xfId="0" applyFont="1" applyFill="1" applyBorder="1" applyAlignment="1">
      <alignment horizontal="center" vertical="center" wrapText="1" readingOrder="1"/>
    </xf>
    <xf numFmtId="0" fontId="9" fillId="2" borderId="18" xfId="0" applyFont="1" applyFill="1" applyBorder="1" applyAlignment="1">
      <alignment horizontal="center" vertical="center" wrapText="1" readingOrder="1"/>
    </xf>
    <xf numFmtId="0" fontId="9" fillId="2" borderId="23" xfId="0" applyFont="1" applyFill="1" applyBorder="1" applyAlignment="1">
      <alignment horizontal="center" vertical="center" wrapText="1" readingOrder="1"/>
    </xf>
    <xf numFmtId="0" fontId="9" fillId="2" borderId="24" xfId="0" applyFont="1" applyFill="1" applyBorder="1" applyAlignment="1">
      <alignment horizontal="center" vertical="center" wrapText="1" readingOrder="1"/>
    </xf>
    <xf numFmtId="0" fontId="9" fillId="2" borderId="25" xfId="0" applyFont="1" applyFill="1" applyBorder="1" applyAlignment="1">
      <alignment horizontal="center" vertical="center" wrapText="1" readingOrder="1"/>
    </xf>
    <xf numFmtId="0" fontId="9" fillId="2" borderId="26" xfId="0" applyFont="1" applyFill="1" applyBorder="1" applyAlignment="1">
      <alignment horizontal="center" vertical="center" wrapText="1" readingOrder="1"/>
    </xf>
    <xf numFmtId="0" fontId="19" fillId="0" borderId="27" xfId="0" applyFont="1" applyBorder="1" applyAlignment="1">
      <alignment horizontal="left" vertical="center" wrapText="1" readingOrder="1"/>
    </xf>
    <xf numFmtId="0" fontId="5" fillId="0" borderId="24" xfId="0" applyFont="1" applyBorder="1" applyAlignment="1">
      <alignment horizontal="center" vertical="center" wrapText="1" readingOrder="1"/>
    </xf>
    <xf numFmtId="0" fontId="5" fillId="0" borderId="26" xfId="0" applyFont="1" applyBorder="1" applyAlignment="1">
      <alignment horizontal="center" vertical="center" wrapText="1" readingOrder="1"/>
    </xf>
    <xf numFmtId="0" fontId="5" fillId="0" borderId="35" xfId="0" applyFont="1" applyBorder="1" applyAlignment="1">
      <alignment horizontal="center" vertical="center" wrapText="1" readingOrder="1"/>
    </xf>
    <xf numFmtId="0" fontId="5" fillId="0" borderId="55" xfId="0" applyFont="1" applyBorder="1" applyAlignment="1">
      <alignment horizontal="center" vertical="center" wrapText="1" readingOrder="1"/>
    </xf>
    <xf numFmtId="0" fontId="5" fillId="5" borderId="49" xfId="0" applyFont="1" applyFill="1" applyBorder="1" applyAlignment="1">
      <alignment horizontal="center" vertical="center" wrapText="1" readingOrder="1"/>
    </xf>
    <xf numFmtId="0" fontId="5" fillId="5" borderId="47" xfId="0" applyFont="1" applyFill="1" applyBorder="1" applyAlignment="1">
      <alignment horizontal="center" vertical="center" wrapText="1" readingOrder="1"/>
    </xf>
    <xf numFmtId="0" fontId="5" fillId="5" borderId="51" xfId="0" applyFont="1" applyFill="1" applyBorder="1" applyAlignment="1">
      <alignment horizontal="center" vertical="center" wrapText="1" readingOrder="1"/>
    </xf>
    <xf numFmtId="0" fontId="19" fillId="0" borderId="0" xfId="0" applyFont="1" applyAlignment="1">
      <alignment horizontal="left" vertical="center" wrapText="1" readingOrder="1"/>
    </xf>
    <xf numFmtId="0" fontId="9" fillId="2" borderId="13" xfId="0" applyFont="1" applyFill="1" applyBorder="1" applyAlignment="1">
      <alignment horizontal="center" vertical="center" wrapText="1" readingOrder="1"/>
    </xf>
    <xf numFmtId="0" fontId="9" fillId="2" borderId="28" xfId="0" applyFont="1" applyFill="1" applyBorder="1" applyAlignment="1">
      <alignment horizontal="center" vertical="center" wrapText="1" readingOrder="1"/>
    </xf>
    <xf numFmtId="0" fontId="26" fillId="9" borderId="24" xfId="0" applyFont="1" applyFill="1" applyBorder="1" applyAlignment="1">
      <alignment horizontal="center" vertical="center" wrapText="1"/>
    </xf>
    <xf numFmtId="0" fontId="26" fillId="9" borderId="26" xfId="0" applyFont="1" applyFill="1" applyBorder="1" applyAlignment="1">
      <alignment horizontal="center" vertical="center" wrapText="1"/>
    </xf>
    <xf numFmtId="0" fontId="9" fillId="2" borderId="2" xfId="0" applyFont="1" applyFill="1" applyBorder="1" applyAlignment="1">
      <alignment horizontal="center" vertical="center" wrapText="1" readingOrder="1"/>
    </xf>
    <xf numFmtId="0" fontId="9" fillId="2" borderId="3" xfId="0" applyFont="1" applyFill="1" applyBorder="1" applyAlignment="1">
      <alignment horizontal="center" vertical="center" wrapText="1" readingOrder="1"/>
    </xf>
    <xf numFmtId="0" fontId="9" fillId="2" borderId="5" xfId="0" applyFont="1" applyFill="1" applyBorder="1" applyAlignment="1">
      <alignment horizontal="center" vertical="center" wrapText="1" readingOrder="1"/>
    </xf>
    <xf numFmtId="0" fontId="9" fillId="2" borderId="7" xfId="0" applyFont="1" applyFill="1" applyBorder="1" applyAlignment="1">
      <alignment horizontal="center" vertical="center" wrapText="1" readingOrder="1"/>
    </xf>
    <xf numFmtId="0" fontId="9" fillId="2" borderId="8" xfId="0" applyFont="1" applyFill="1" applyBorder="1" applyAlignment="1">
      <alignment horizontal="center" vertical="center" wrapText="1" readingOrder="1"/>
    </xf>
    <xf numFmtId="0" fontId="9" fillId="2" borderId="9" xfId="0" applyFont="1" applyFill="1" applyBorder="1" applyAlignment="1">
      <alignment horizontal="center" vertical="center" wrapText="1" readingOrder="1"/>
    </xf>
    <xf numFmtId="0" fontId="5" fillId="5" borderId="52" xfId="0" applyFont="1" applyFill="1" applyBorder="1" applyAlignment="1">
      <alignment horizontal="center" vertical="center" wrapText="1" readingOrder="1"/>
    </xf>
    <xf numFmtId="0" fontId="5" fillId="5" borderId="53" xfId="0" applyFont="1" applyFill="1" applyBorder="1" applyAlignment="1">
      <alignment horizontal="center" vertical="center" wrapText="1" readingOrder="1"/>
    </xf>
    <xf numFmtId="0" fontId="26" fillId="9" borderId="30" xfId="0" applyFont="1" applyFill="1" applyBorder="1" applyAlignment="1">
      <alignment horizontal="center" vertical="center" wrapText="1"/>
    </xf>
    <xf numFmtId="0" fontId="26" fillId="9" borderId="29" xfId="0" applyFont="1" applyFill="1" applyBorder="1" applyAlignment="1">
      <alignment horizontal="center" vertical="center" wrapText="1"/>
    </xf>
    <xf numFmtId="0" fontId="26" fillId="9" borderId="31" xfId="0" applyFont="1" applyFill="1" applyBorder="1" applyAlignment="1">
      <alignment horizontal="center" vertical="center" wrapText="1"/>
    </xf>
    <xf numFmtId="0" fontId="26" fillId="9" borderId="32" xfId="0" applyFont="1" applyFill="1" applyBorder="1" applyAlignment="1">
      <alignment horizontal="center" vertical="center" wrapText="1"/>
    </xf>
    <xf numFmtId="0" fontId="8" fillId="0" borderId="11" xfId="0" applyFont="1" applyBorder="1" applyAlignment="1">
      <alignment horizontal="left" vertical="center" wrapText="1" readingOrder="1"/>
    </xf>
    <xf numFmtId="0" fontId="22" fillId="0" borderId="0" xfId="0" applyFont="1" applyAlignment="1">
      <alignment horizontal="left" vertical="center" wrapText="1" readingOrder="1"/>
    </xf>
  </cellXfs>
  <cellStyles count="4">
    <cellStyle name="Millares" xfId="3" builtinId="3"/>
    <cellStyle name="Normal" xfId="0" builtinId="0"/>
    <cellStyle name="Normal 2" xfId="1" xr:uid="{00000000-0005-0000-0000-000002000000}"/>
    <cellStyle name="Normal 9" xfId="2"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365838"/>
      <rgbColor rgb="00D3D3D3"/>
      <rgbColor rgb="002E8B57"/>
      <rgbColor rgb="00808080"/>
      <rgbColor rgb="00FFFFFF"/>
      <rgbColor rgb="0066CDAA"/>
      <rgbColor rgb="0090EE90"/>
      <rgbColor rgb="00A3CBA3"/>
      <rgbColor rgb="00A9A9A9"/>
      <rgbColor rgb="0032CD32"/>
      <rgbColor rgb="003CB371"/>
      <rgbColor rgb="004A7349"/>
      <rgbColor rgb="00008080"/>
      <rgbColor rgb="00C0C0C0"/>
      <rgbColor rgb="000000F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0</xdr:col>
      <xdr:colOff>295274</xdr:colOff>
      <xdr:row>0</xdr:row>
      <xdr:rowOff>57150</xdr:rowOff>
    </xdr:from>
    <xdr:to>
      <xdr:col>1</xdr:col>
      <xdr:colOff>590550</xdr:colOff>
      <xdr:row>2</xdr:row>
      <xdr:rowOff>19050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295274" y="57150"/>
          <a:ext cx="1057276" cy="542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76200</xdr:rowOff>
    </xdr:from>
    <xdr:to>
      <xdr:col>8</xdr:col>
      <xdr:colOff>682625</xdr:colOff>
      <xdr:row>1</xdr:row>
      <xdr:rowOff>79375</xdr:rowOff>
    </xdr:to>
    <xdr:pic>
      <xdr:nvPicPr>
        <xdr:cNvPr id="4" name="Picture 1">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cstate="print"/>
        <a:stretch>
          <a:fillRect/>
        </a:stretch>
      </xdr:blipFill>
      <xdr:spPr>
        <a:xfrm>
          <a:off x="38100" y="76200"/>
          <a:ext cx="3749675" cy="393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126999</xdr:colOff>
      <xdr:row>2</xdr:row>
      <xdr:rowOff>0</xdr:rowOff>
    </xdr:from>
    <xdr:to>
      <xdr:col>4</xdr:col>
      <xdr:colOff>1047750</xdr:colOff>
      <xdr:row>3</xdr:row>
      <xdr:rowOff>2117</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xfrm>
          <a:off x="126999" y="52917"/>
          <a:ext cx="2931584" cy="393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126999</xdr:colOff>
      <xdr:row>2</xdr:row>
      <xdr:rowOff>0</xdr:rowOff>
    </xdr:from>
    <xdr:to>
      <xdr:col>4</xdr:col>
      <xdr:colOff>1047750</xdr:colOff>
      <xdr:row>3</xdr:row>
      <xdr:rowOff>2117</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xfrm>
          <a:off x="126999" y="47625"/>
          <a:ext cx="2797176" cy="3926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xdr:row>
      <xdr:rowOff>0</xdr:rowOff>
    </xdr:from>
    <xdr:to>
      <xdr:col>3</xdr:col>
      <xdr:colOff>2463800</xdr:colOff>
      <xdr:row>2</xdr:row>
      <xdr:rowOff>393700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42"/>
  <sheetViews>
    <sheetView showGridLines="0" zoomScale="90" zoomScaleNormal="90" workbookViewId="0">
      <selection activeCell="F27" sqref="F27"/>
    </sheetView>
  </sheetViews>
  <sheetFormatPr baseColWidth="10" defaultRowHeight="14.4" x14ac:dyDescent="0.3"/>
  <cols>
    <col min="2" max="2" width="16.33203125" customWidth="1"/>
    <col min="3" max="3" width="11.44140625" customWidth="1"/>
    <col min="4" max="4" width="12.33203125" customWidth="1"/>
    <col min="5" max="5" width="11.44140625" customWidth="1"/>
    <col min="6" max="6" width="15.5546875" customWidth="1"/>
    <col min="7" max="7" width="13.109375" customWidth="1"/>
    <col min="8" max="8" width="6.88671875" customWidth="1"/>
    <col min="9" max="9" width="13.88671875" customWidth="1"/>
    <col min="10" max="10" width="12.109375" customWidth="1"/>
    <col min="11" max="11" width="14.88671875" bestFit="1" customWidth="1"/>
    <col min="12" max="12" width="9.5546875" customWidth="1"/>
  </cols>
  <sheetData>
    <row r="2" spans="1:12" ht="30.75" customHeight="1" x14ac:dyDescent="0.3">
      <c r="A2" s="12"/>
      <c r="B2" s="12"/>
      <c r="C2" s="105" t="s">
        <v>54</v>
      </c>
      <c r="D2" s="105"/>
      <c r="E2" s="105"/>
      <c r="F2" s="105"/>
      <c r="G2" s="105"/>
      <c r="H2" s="105"/>
      <c r="I2" s="105"/>
      <c r="J2" s="105"/>
      <c r="K2" s="105"/>
      <c r="L2" s="105"/>
    </row>
    <row r="3" spans="1:12" ht="9" customHeight="1" x14ac:dyDescent="0.3">
      <c r="A3" s="12"/>
      <c r="B3" s="12"/>
      <c r="C3" s="12"/>
      <c r="D3" s="12"/>
      <c r="E3" s="12"/>
      <c r="F3" s="12"/>
      <c r="G3" s="12"/>
      <c r="H3" s="12"/>
      <c r="I3" s="12"/>
      <c r="J3" s="12"/>
      <c r="K3" s="12"/>
      <c r="L3" s="12"/>
    </row>
    <row r="4" spans="1:12" ht="22.5" customHeight="1" x14ac:dyDescent="0.3">
      <c r="A4" s="22" t="s">
        <v>42</v>
      </c>
      <c r="B4" s="12"/>
      <c r="C4" s="12"/>
      <c r="D4" s="12"/>
      <c r="E4" s="12"/>
      <c r="F4" s="12"/>
      <c r="G4" s="12"/>
      <c r="H4" s="12"/>
      <c r="I4" s="12"/>
      <c r="J4" s="12"/>
      <c r="K4" s="12"/>
      <c r="L4" s="12"/>
    </row>
    <row r="5" spans="1:12" s="11" customFormat="1" ht="21.75" customHeight="1" x14ac:dyDescent="0.3">
      <c r="A5" s="111" t="s">
        <v>17</v>
      </c>
      <c r="B5" s="111"/>
      <c r="C5" s="115" t="s">
        <v>125</v>
      </c>
      <c r="D5" s="114"/>
      <c r="E5" s="113" t="s">
        <v>27</v>
      </c>
      <c r="F5" s="114"/>
      <c r="G5" s="38" t="s">
        <v>99</v>
      </c>
      <c r="H5" s="111" t="s">
        <v>18</v>
      </c>
      <c r="I5" s="111"/>
      <c r="J5" s="112" t="s">
        <v>45</v>
      </c>
      <c r="K5" s="112"/>
      <c r="L5" s="112"/>
    </row>
    <row r="6" spans="1:12" s="11" customFormat="1" ht="12" customHeight="1" x14ac:dyDescent="0.3">
      <c r="A6" s="39"/>
      <c r="B6" s="39"/>
      <c r="C6" s="39"/>
      <c r="D6" s="39"/>
      <c r="E6" s="39"/>
      <c r="F6" s="39"/>
      <c r="G6" s="39"/>
      <c r="H6" s="39"/>
      <c r="I6" s="39"/>
      <c r="J6" s="39"/>
      <c r="K6" s="39"/>
      <c r="L6" s="39"/>
    </row>
    <row r="7" spans="1:12" s="11" customFormat="1" ht="32.25" customHeight="1" x14ac:dyDescent="0.3">
      <c r="A7" s="123" t="s">
        <v>19</v>
      </c>
      <c r="B7" s="132"/>
      <c r="C7" s="115" t="s">
        <v>100</v>
      </c>
      <c r="D7" s="125"/>
      <c r="E7" s="125"/>
      <c r="F7" s="125"/>
      <c r="G7" s="126"/>
      <c r="H7" s="123" t="s">
        <v>4</v>
      </c>
      <c r="I7" s="124"/>
      <c r="J7" s="40">
        <v>20448433316</v>
      </c>
      <c r="K7" s="41" t="s">
        <v>29</v>
      </c>
      <c r="L7" s="38">
        <v>27</v>
      </c>
    </row>
    <row r="8" spans="1:12" s="11" customFormat="1" ht="45.75" customHeight="1" x14ac:dyDescent="0.3">
      <c r="A8" s="123" t="s">
        <v>55</v>
      </c>
      <c r="B8" s="132"/>
      <c r="C8" s="127" t="s">
        <v>101</v>
      </c>
      <c r="D8" s="128"/>
      <c r="E8" s="128"/>
      <c r="F8" s="128"/>
      <c r="G8" s="129"/>
      <c r="H8" s="123" t="s">
        <v>15</v>
      </c>
      <c r="I8" s="124"/>
      <c r="J8" s="93" t="s">
        <v>108</v>
      </c>
      <c r="K8" s="41" t="s">
        <v>30</v>
      </c>
      <c r="L8" s="38">
        <v>2360.21</v>
      </c>
    </row>
    <row r="9" spans="1:12" s="14" customFormat="1" ht="12" customHeight="1" x14ac:dyDescent="0.2">
      <c r="A9" s="42"/>
      <c r="B9" s="42"/>
      <c r="C9" s="42"/>
      <c r="D9" s="42"/>
      <c r="E9" s="42"/>
      <c r="F9" s="42"/>
      <c r="G9" s="42"/>
      <c r="H9" s="42"/>
      <c r="I9" s="42"/>
      <c r="J9" s="42"/>
      <c r="K9" s="42"/>
      <c r="L9" s="42"/>
    </row>
    <row r="10" spans="1:12" s="14" customFormat="1" ht="18.75" customHeight="1" x14ac:dyDescent="0.2">
      <c r="A10" s="43" t="s">
        <v>48</v>
      </c>
      <c r="B10" s="42"/>
      <c r="C10" s="42"/>
      <c r="D10" s="42"/>
      <c r="E10" s="42"/>
      <c r="F10" s="42"/>
      <c r="G10" s="42"/>
      <c r="H10" s="42"/>
      <c r="I10" s="42"/>
      <c r="J10" s="42"/>
      <c r="K10" s="42"/>
      <c r="L10" s="42"/>
    </row>
    <row r="11" spans="1:12" s="11" customFormat="1" ht="17.25" customHeight="1" x14ac:dyDescent="0.3">
      <c r="A11" s="111" t="s">
        <v>28</v>
      </c>
      <c r="B11" s="111"/>
      <c r="C11" s="111" t="s">
        <v>0</v>
      </c>
      <c r="D11" s="111"/>
      <c r="E11" s="111" t="s">
        <v>1</v>
      </c>
      <c r="F11" s="111"/>
      <c r="G11" s="44" t="s">
        <v>20</v>
      </c>
      <c r="H11" s="39"/>
      <c r="I11" s="117" t="s">
        <v>21</v>
      </c>
      <c r="J11" s="117"/>
      <c r="K11" s="117"/>
      <c r="L11" s="117"/>
    </row>
    <row r="12" spans="1:12" s="11" customFormat="1" ht="11.25" customHeight="1" x14ac:dyDescent="0.3">
      <c r="A12" s="112" t="s">
        <v>85</v>
      </c>
      <c r="B12" s="112"/>
      <c r="C12" s="112" t="s">
        <v>102</v>
      </c>
      <c r="D12" s="112"/>
      <c r="E12" s="112" t="s">
        <v>103</v>
      </c>
      <c r="F12" s="112"/>
      <c r="G12" s="116" t="s">
        <v>104</v>
      </c>
      <c r="H12" s="39"/>
      <c r="I12" s="117" t="s">
        <v>22</v>
      </c>
      <c r="J12" s="117"/>
      <c r="K12" s="117" t="s">
        <v>23</v>
      </c>
      <c r="L12" s="117"/>
    </row>
    <row r="13" spans="1:12" s="11" customFormat="1" ht="14.25" customHeight="1" x14ac:dyDescent="0.3">
      <c r="A13" s="112"/>
      <c r="B13" s="112"/>
      <c r="C13" s="112"/>
      <c r="D13" s="112"/>
      <c r="E13" s="112"/>
      <c r="F13" s="112"/>
      <c r="G13" s="116"/>
      <c r="H13" s="39"/>
      <c r="I13" s="108"/>
      <c r="J13" s="108"/>
      <c r="K13" s="108"/>
      <c r="L13" s="108"/>
    </row>
    <row r="14" spans="1:12" s="11" customFormat="1" ht="12" customHeight="1" x14ac:dyDescent="0.3">
      <c r="A14" s="39"/>
      <c r="B14" s="39"/>
      <c r="C14" s="39"/>
      <c r="D14" s="39"/>
      <c r="E14" s="39"/>
      <c r="F14" s="39"/>
      <c r="G14" s="39"/>
      <c r="H14" s="39"/>
      <c r="I14" s="39"/>
      <c r="J14" s="39"/>
      <c r="K14" s="39"/>
      <c r="L14" s="39"/>
    </row>
    <row r="15" spans="1:12" s="11" customFormat="1" ht="20.25" customHeight="1" x14ac:dyDescent="0.3">
      <c r="A15" s="43" t="s">
        <v>57</v>
      </c>
      <c r="B15" s="39"/>
      <c r="C15" s="39"/>
      <c r="D15" s="39"/>
      <c r="E15" s="39"/>
      <c r="F15" s="39"/>
      <c r="G15" s="43" t="s">
        <v>56</v>
      </c>
      <c r="H15" s="39"/>
      <c r="I15" s="39"/>
      <c r="J15" s="39"/>
      <c r="K15" s="39"/>
      <c r="L15" s="39"/>
    </row>
    <row r="16" spans="1:12" s="11" customFormat="1" ht="15.75" customHeight="1" x14ac:dyDescent="0.3">
      <c r="A16" s="39"/>
      <c r="B16" s="106" t="s">
        <v>126</v>
      </c>
      <c r="C16" s="106"/>
      <c r="D16" s="106"/>
      <c r="E16" s="106"/>
      <c r="F16" s="45"/>
      <c r="G16" s="130" t="s">
        <v>32</v>
      </c>
      <c r="H16" s="131"/>
      <c r="I16" s="113" t="s">
        <v>127</v>
      </c>
      <c r="J16" s="114"/>
      <c r="K16" s="46" t="s">
        <v>8</v>
      </c>
      <c r="L16" s="39"/>
    </row>
    <row r="17" spans="1:12" s="11" customFormat="1" ht="18.75" customHeight="1" x14ac:dyDescent="0.3">
      <c r="A17" s="39"/>
      <c r="B17" s="106" t="s">
        <v>46</v>
      </c>
      <c r="C17" s="106"/>
      <c r="D17" s="106" t="s">
        <v>47</v>
      </c>
      <c r="E17" s="106"/>
      <c r="F17" s="45"/>
      <c r="G17" s="109" t="s">
        <v>24</v>
      </c>
      <c r="H17" s="110"/>
      <c r="I17" s="118">
        <f>I19*K17</f>
        <v>3200</v>
      </c>
      <c r="J17" s="119"/>
      <c r="K17" s="47">
        <v>0.8</v>
      </c>
      <c r="L17" s="39"/>
    </row>
    <row r="18" spans="1:12" s="11" customFormat="1" ht="19.5" customHeight="1" x14ac:dyDescent="0.3">
      <c r="A18" s="48" t="s">
        <v>40</v>
      </c>
      <c r="B18" s="107">
        <v>46114</v>
      </c>
      <c r="C18" s="107"/>
      <c r="D18" s="107" t="s">
        <v>128</v>
      </c>
      <c r="E18" s="107"/>
      <c r="F18" s="45"/>
      <c r="G18" s="109" t="s">
        <v>38</v>
      </c>
      <c r="H18" s="110"/>
      <c r="I18" s="118">
        <f>I19*K18</f>
        <v>800</v>
      </c>
      <c r="J18" s="119"/>
      <c r="K18" s="47">
        <v>0.2</v>
      </c>
      <c r="L18" s="39"/>
    </row>
    <row r="19" spans="1:12" s="11" customFormat="1" ht="19.5" customHeight="1" x14ac:dyDescent="0.3">
      <c r="A19" s="48" t="s">
        <v>41</v>
      </c>
      <c r="B19" s="107">
        <v>46298</v>
      </c>
      <c r="C19" s="107"/>
      <c r="D19" s="107">
        <v>46479</v>
      </c>
      <c r="E19" s="107"/>
      <c r="F19" s="45"/>
      <c r="G19" s="113" t="s">
        <v>25</v>
      </c>
      <c r="H19" s="114"/>
      <c r="I19" s="120">
        <f>'Formato 01'!M10</f>
        <v>4000</v>
      </c>
      <c r="J19" s="121"/>
      <c r="K19" s="46">
        <f>SUM(K17:K18)</f>
        <v>1</v>
      </c>
      <c r="L19" s="39"/>
    </row>
    <row r="20" spans="1:12" s="11" customFormat="1" ht="6.75" customHeight="1" x14ac:dyDescent="0.3">
      <c r="A20" s="49"/>
      <c r="B20" s="49"/>
      <c r="C20" s="49"/>
      <c r="D20" s="50"/>
      <c r="E20" s="49"/>
      <c r="F20" s="49"/>
      <c r="G20" s="50"/>
      <c r="H20" s="49"/>
      <c r="I20" s="49"/>
      <c r="J20" s="51"/>
      <c r="K20" s="39"/>
      <c r="L20" s="52"/>
    </row>
    <row r="21" spans="1:12" s="11" customFormat="1" ht="19.5" customHeight="1" x14ac:dyDescent="0.3">
      <c r="A21" s="53"/>
      <c r="B21" s="49"/>
      <c r="C21" s="54"/>
      <c r="D21" s="54"/>
      <c r="E21" s="54"/>
      <c r="F21" s="54"/>
      <c r="G21" s="54"/>
      <c r="H21" s="54"/>
      <c r="I21" s="54"/>
      <c r="J21" s="55"/>
      <c r="K21" s="39"/>
      <c r="L21" s="39"/>
    </row>
    <row r="22" spans="1:12" s="11" customFormat="1" ht="10.5" customHeight="1" x14ac:dyDescent="0.3">
      <c r="A22" s="39"/>
      <c r="B22" s="39"/>
      <c r="C22" s="39"/>
      <c r="D22" s="39"/>
      <c r="E22" s="39"/>
      <c r="F22" s="39"/>
      <c r="G22" s="39"/>
      <c r="H22" s="39"/>
      <c r="I22" s="39"/>
      <c r="J22" s="39"/>
      <c r="K22" s="39"/>
      <c r="L22" s="39"/>
    </row>
    <row r="23" spans="1:12" s="15" customFormat="1" ht="18.75" customHeight="1" x14ac:dyDescent="0.3">
      <c r="A23" s="113" t="s">
        <v>26</v>
      </c>
      <c r="B23" s="122"/>
      <c r="C23" s="122"/>
      <c r="D23" s="114"/>
      <c r="E23" s="113" t="s">
        <v>31</v>
      </c>
      <c r="F23" s="122"/>
      <c r="G23" s="122"/>
      <c r="H23" s="114"/>
      <c r="I23" s="113" t="s">
        <v>43</v>
      </c>
      <c r="J23" s="122"/>
      <c r="K23" s="122"/>
      <c r="L23" s="114"/>
    </row>
    <row r="24" spans="1:12" s="11" customFormat="1" ht="10.199999999999999" x14ac:dyDescent="0.3">
      <c r="A24" s="56"/>
      <c r="B24" s="57"/>
      <c r="C24" s="57"/>
      <c r="D24" s="58"/>
      <c r="E24" s="56"/>
      <c r="F24" s="57"/>
      <c r="G24" s="57"/>
      <c r="H24" s="58"/>
      <c r="I24" s="56"/>
      <c r="J24" s="57"/>
      <c r="K24" s="57"/>
      <c r="L24" s="58"/>
    </row>
    <row r="25" spans="1:12" s="11" customFormat="1" ht="10.199999999999999" x14ac:dyDescent="0.3">
      <c r="A25" s="59"/>
      <c r="B25" s="52"/>
      <c r="C25" s="52"/>
      <c r="D25" s="60"/>
      <c r="E25" s="59"/>
      <c r="F25" s="52"/>
      <c r="G25" s="52"/>
      <c r="H25" s="60"/>
      <c r="I25" s="59"/>
      <c r="J25" s="52"/>
      <c r="K25" s="52"/>
      <c r="L25" s="60"/>
    </row>
    <row r="26" spans="1:12" s="11" customFormat="1" ht="10.199999999999999" x14ac:dyDescent="0.3">
      <c r="A26" s="59"/>
      <c r="B26" s="52"/>
      <c r="C26" s="52"/>
      <c r="D26" s="60"/>
      <c r="E26" s="59"/>
      <c r="F26" s="52"/>
      <c r="G26" s="52"/>
      <c r="H26" s="60"/>
      <c r="I26" s="59"/>
      <c r="J26" s="52"/>
      <c r="K26" s="52"/>
      <c r="L26" s="60"/>
    </row>
    <row r="27" spans="1:12" s="11" customFormat="1" ht="10.199999999999999" x14ac:dyDescent="0.3">
      <c r="A27" s="59"/>
      <c r="B27" s="52"/>
      <c r="C27" s="52"/>
      <c r="D27" s="60"/>
      <c r="E27" s="59"/>
      <c r="F27" s="52"/>
      <c r="G27" s="52"/>
      <c r="H27" s="60"/>
      <c r="I27" s="59"/>
      <c r="J27" s="52"/>
      <c r="K27" s="52"/>
      <c r="L27" s="60"/>
    </row>
    <row r="28" spans="1:12" s="11" customFormat="1" ht="10.199999999999999" x14ac:dyDescent="0.3">
      <c r="A28" s="59"/>
      <c r="B28" s="52"/>
      <c r="C28" s="52"/>
      <c r="D28" s="60"/>
      <c r="E28" s="59"/>
      <c r="F28" s="52"/>
      <c r="G28" s="52"/>
      <c r="H28" s="60"/>
      <c r="I28" s="59"/>
      <c r="J28" s="52"/>
      <c r="K28" s="52"/>
      <c r="L28" s="60"/>
    </row>
    <row r="29" spans="1:12" s="11" customFormat="1" ht="10.199999999999999" x14ac:dyDescent="0.3">
      <c r="A29" s="59"/>
      <c r="B29" s="52"/>
      <c r="C29" s="52"/>
      <c r="D29" s="60"/>
      <c r="E29" s="59"/>
      <c r="F29" s="52"/>
      <c r="G29" s="52"/>
      <c r="H29" s="60"/>
      <c r="I29" s="59"/>
      <c r="J29" s="52"/>
      <c r="K29" s="52"/>
      <c r="L29" s="60"/>
    </row>
    <row r="30" spans="1:12" s="11" customFormat="1" ht="10.199999999999999" x14ac:dyDescent="0.3">
      <c r="A30" s="59"/>
      <c r="B30" s="52"/>
      <c r="C30" s="52"/>
      <c r="D30" s="60"/>
      <c r="E30" s="59"/>
      <c r="F30" s="52"/>
      <c r="G30" s="52"/>
      <c r="H30" s="60"/>
      <c r="I30" s="59"/>
      <c r="J30" s="52"/>
      <c r="K30" s="52"/>
      <c r="L30" s="60"/>
    </row>
    <row r="31" spans="1:12" s="11" customFormat="1" ht="10.199999999999999" x14ac:dyDescent="0.3">
      <c r="A31" s="61"/>
      <c r="B31" s="62"/>
      <c r="C31" s="62"/>
      <c r="D31" s="63"/>
      <c r="E31" s="61"/>
      <c r="F31" s="62"/>
      <c r="G31" s="62"/>
      <c r="H31" s="63"/>
      <c r="I31" s="61"/>
      <c r="J31" s="62"/>
      <c r="K31" s="62"/>
      <c r="L31" s="63"/>
    </row>
    <row r="32" spans="1:12" s="15" customFormat="1" ht="15.75" customHeight="1" x14ac:dyDescent="0.3">
      <c r="A32" s="113" t="s">
        <v>2</v>
      </c>
      <c r="B32" s="122"/>
      <c r="C32" s="122"/>
      <c r="D32" s="114"/>
      <c r="E32" s="113" t="s">
        <v>2</v>
      </c>
      <c r="F32" s="122"/>
      <c r="G32" s="122"/>
      <c r="H32" s="114"/>
      <c r="I32" s="113" t="s">
        <v>2</v>
      </c>
      <c r="J32" s="122"/>
      <c r="K32" s="122"/>
      <c r="L32" s="114"/>
    </row>
    <row r="33" spans="8:12" ht="7.5" customHeight="1" x14ac:dyDescent="0.3"/>
    <row r="34" spans="8:12" x14ac:dyDescent="0.3">
      <c r="H34" s="11"/>
      <c r="I34" s="11"/>
      <c r="J34" s="11"/>
      <c r="K34" s="11"/>
      <c r="L34" s="11"/>
    </row>
    <row r="35" spans="8:12" x14ac:dyDescent="0.3">
      <c r="H35" s="11"/>
      <c r="I35" s="11"/>
      <c r="J35" s="11"/>
      <c r="K35" s="11"/>
      <c r="L35" s="11"/>
    </row>
    <row r="36" spans="8:12" x14ac:dyDescent="0.3">
      <c r="H36" s="11"/>
      <c r="I36" s="11"/>
      <c r="J36" s="11"/>
      <c r="K36" s="11"/>
      <c r="L36" s="11"/>
    </row>
    <row r="37" spans="8:12" x14ac:dyDescent="0.3">
      <c r="H37" s="11"/>
      <c r="I37" s="11"/>
      <c r="J37" s="11"/>
      <c r="K37" s="11"/>
      <c r="L37" s="11"/>
    </row>
    <row r="38" spans="8:12" x14ac:dyDescent="0.3">
      <c r="H38" s="11"/>
      <c r="I38" s="11"/>
      <c r="J38" s="11"/>
      <c r="K38" s="11"/>
      <c r="L38" s="11"/>
    </row>
    <row r="39" spans="8:12" x14ac:dyDescent="0.3">
      <c r="H39" s="11"/>
      <c r="I39" s="11"/>
      <c r="J39" s="11"/>
      <c r="K39" s="11"/>
      <c r="L39" s="11"/>
    </row>
    <row r="40" spans="8:12" x14ac:dyDescent="0.3">
      <c r="H40" s="11"/>
      <c r="I40" s="11"/>
      <c r="J40" s="11"/>
      <c r="K40" s="11"/>
      <c r="L40" s="11"/>
    </row>
    <row r="41" spans="8:12" x14ac:dyDescent="0.3">
      <c r="H41" s="11"/>
      <c r="I41" s="11"/>
      <c r="J41" s="11"/>
      <c r="K41" s="11"/>
      <c r="L41" s="11"/>
    </row>
    <row r="42" spans="8:12" x14ac:dyDescent="0.3">
      <c r="H42" s="11"/>
      <c r="I42" s="11"/>
      <c r="J42" s="11"/>
      <c r="K42" s="11"/>
      <c r="L42" s="11"/>
    </row>
  </sheetData>
  <mergeCells count="45">
    <mergeCell ref="A32:D32"/>
    <mergeCell ref="E32:H32"/>
    <mergeCell ref="I32:L32"/>
    <mergeCell ref="H7:I7"/>
    <mergeCell ref="H8:I8"/>
    <mergeCell ref="C7:G7"/>
    <mergeCell ref="C8:G8"/>
    <mergeCell ref="K12:L12"/>
    <mergeCell ref="I16:J16"/>
    <mergeCell ref="E23:H23"/>
    <mergeCell ref="I23:L23"/>
    <mergeCell ref="A23:D23"/>
    <mergeCell ref="G16:H16"/>
    <mergeCell ref="A7:B7"/>
    <mergeCell ref="A8:B8"/>
    <mergeCell ref="C11:D11"/>
    <mergeCell ref="B19:C19"/>
    <mergeCell ref="D18:E18"/>
    <mergeCell ref="D19:E19"/>
    <mergeCell ref="H5:I5"/>
    <mergeCell ref="I13:J13"/>
    <mergeCell ref="A11:B11"/>
    <mergeCell ref="G12:G13"/>
    <mergeCell ref="I12:J12"/>
    <mergeCell ref="I11:L11"/>
    <mergeCell ref="J5:L5"/>
    <mergeCell ref="A5:B5"/>
    <mergeCell ref="G19:H19"/>
    <mergeCell ref="I17:J17"/>
    <mergeCell ref="I18:J18"/>
    <mergeCell ref="I19:J19"/>
    <mergeCell ref="G18:H18"/>
    <mergeCell ref="C2:L2"/>
    <mergeCell ref="B17:C17"/>
    <mergeCell ref="D17:E17"/>
    <mergeCell ref="B16:E16"/>
    <mergeCell ref="B18:C18"/>
    <mergeCell ref="K13:L13"/>
    <mergeCell ref="G17:H17"/>
    <mergeCell ref="E11:F11"/>
    <mergeCell ref="A12:B13"/>
    <mergeCell ref="C12:D13"/>
    <mergeCell ref="E12:F13"/>
    <mergeCell ref="E5:F5"/>
    <mergeCell ref="C5:D5"/>
  </mergeCells>
  <pageMargins left="0.31496062992125984" right="0" top="0.35433070866141736" bottom="0" header="0.31496062992125984" footer="0.31496062992125984"/>
  <pageSetup paperSize="9" scale="96"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P17"/>
  <sheetViews>
    <sheetView showGridLines="0" zoomScaleNormal="100" zoomScalePageLayoutView="90" workbookViewId="0">
      <selection activeCell="O11" sqref="O11"/>
    </sheetView>
  </sheetViews>
  <sheetFormatPr baseColWidth="10" defaultRowHeight="14.4" x14ac:dyDescent="0.3"/>
  <cols>
    <col min="1" max="1" width="1.33203125" customWidth="1"/>
    <col min="2" max="2" width="0.109375" customWidth="1"/>
    <col min="3" max="3" width="4.44140625" customWidth="1"/>
    <col min="4" max="4" width="12.44140625" customWidth="1"/>
    <col min="5" max="5" width="1.5546875" customWidth="1"/>
    <col min="6" max="6" width="9.6640625" customWidth="1"/>
    <col min="7" max="7" width="7.33203125" customWidth="1"/>
    <col min="8" max="8" width="8.44140625" customWidth="1"/>
    <col min="9" max="9" width="40" customWidth="1"/>
    <col min="10" max="10" width="11.88671875" style="2" customWidth="1"/>
    <col min="11" max="11" width="10.5546875" style="2" customWidth="1"/>
    <col min="12" max="12" width="11.33203125" style="2" customWidth="1"/>
    <col min="13" max="13" width="15.88671875" style="2" customWidth="1"/>
    <col min="14" max="14" width="17.33203125" style="2" customWidth="1"/>
    <col min="15" max="15" width="18.5546875" style="2" customWidth="1"/>
    <col min="16" max="16" width="16.33203125" style="23" customWidth="1"/>
  </cols>
  <sheetData>
    <row r="1" spans="2:16" ht="31.2" customHeight="1" x14ac:dyDescent="0.3">
      <c r="C1" s="133"/>
      <c r="D1" s="133"/>
      <c r="E1" s="133"/>
      <c r="F1" s="133"/>
      <c r="G1" s="133"/>
    </row>
    <row r="2" spans="2:16" ht="11.25" customHeight="1" x14ac:dyDescent="0.3"/>
    <row r="3" spans="2:16" ht="24" customHeight="1" x14ac:dyDescent="0.3">
      <c r="C3" s="139" t="s">
        <v>44</v>
      </c>
      <c r="D3" s="139"/>
      <c r="E3" s="139"/>
      <c r="F3" s="139"/>
      <c r="G3" s="139"/>
      <c r="H3" s="139"/>
      <c r="I3" s="139"/>
      <c r="J3" s="139"/>
      <c r="K3" s="139"/>
      <c r="L3" s="139"/>
      <c r="M3" s="139"/>
      <c r="N3" s="139"/>
      <c r="O3" s="139"/>
    </row>
    <row r="4" spans="2:16" s="1" customFormat="1" x14ac:dyDescent="0.3">
      <c r="C4" s="134" t="s">
        <v>3</v>
      </c>
      <c r="D4" s="135"/>
      <c r="E4" s="136" t="s">
        <v>129</v>
      </c>
      <c r="F4" s="135"/>
      <c r="G4" s="135"/>
      <c r="H4" s="135"/>
      <c r="J4" s="2"/>
      <c r="K4" s="2"/>
      <c r="L4" s="2"/>
      <c r="M4" s="2"/>
      <c r="N4" s="2"/>
      <c r="O4" s="2"/>
      <c r="P4" s="2"/>
    </row>
    <row r="5" spans="2:16" s="1" customFormat="1" ht="12.75" customHeight="1" x14ac:dyDescent="0.3">
      <c r="C5" s="134" t="s">
        <v>16</v>
      </c>
      <c r="D5" s="135"/>
      <c r="E5" s="136" t="str">
        <f>+Caratula!C7</f>
        <v>ASOCIACION DE PRODUCTORES AGROPECUARIOS MICROCUENCA NORTE RIO NUÑOA</v>
      </c>
      <c r="F5" s="135"/>
      <c r="G5" s="135"/>
      <c r="H5" s="135"/>
      <c r="I5" s="135"/>
      <c r="J5" s="135"/>
      <c r="K5" s="135"/>
      <c r="L5" s="135"/>
      <c r="M5" s="2"/>
      <c r="N5" s="2"/>
      <c r="O5" s="2"/>
      <c r="P5" s="2"/>
    </row>
    <row r="6" spans="2:16" s="1" customFormat="1" ht="12.75" customHeight="1" x14ac:dyDescent="0.3">
      <c r="C6" s="134" t="s">
        <v>4</v>
      </c>
      <c r="D6" s="135"/>
      <c r="E6" s="137">
        <f>+Caratula!J7</f>
        <v>20448433316</v>
      </c>
      <c r="F6" s="138"/>
      <c r="G6" s="138"/>
      <c r="H6" s="138"/>
      <c r="J6" s="2"/>
      <c r="K6" s="2"/>
      <c r="L6" s="2"/>
      <c r="M6" s="2"/>
      <c r="N6" s="2"/>
      <c r="O6" s="2"/>
      <c r="P6" s="2"/>
    </row>
    <row r="7" spans="2:16" s="1" customFormat="1" ht="22.5" customHeight="1" x14ac:dyDescent="0.3">
      <c r="C7" s="141" t="s">
        <v>5</v>
      </c>
      <c r="D7" s="141"/>
      <c r="E7" s="137" t="str">
        <f>+Caratula!C8</f>
        <v>MEJORAMIENTO DEL MANEJO PRUDUCTIVO DE LA ALPACA</v>
      </c>
      <c r="F7" s="137"/>
      <c r="G7" s="137"/>
      <c r="H7" s="137"/>
      <c r="I7" s="137"/>
      <c r="J7" s="137"/>
      <c r="K7" s="137"/>
      <c r="L7" s="137"/>
      <c r="M7" s="137"/>
      <c r="N7" s="137"/>
      <c r="O7" s="137"/>
      <c r="P7" s="2"/>
    </row>
    <row r="8" spans="2:16" ht="19.5" customHeight="1" x14ac:dyDescent="0.3">
      <c r="B8" s="142" t="s">
        <v>71</v>
      </c>
      <c r="C8" s="142"/>
      <c r="D8" s="142"/>
      <c r="E8" s="142"/>
      <c r="F8" s="142"/>
      <c r="G8" s="142" t="s">
        <v>11</v>
      </c>
      <c r="H8" s="142"/>
      <c r="I8" s="143"/>
      <c r="J8" s="151" t="s">
        <v>37</v>
      </c>
      <c r="K8" s="144"/>
      <c r="L8" s="144"/>
      <c r="M8" s="145"/>
      <c r="N8" s="151" t="s">
        <v>36</v>
      </c>
      <c r="O8" s="145"/>
    </row>
    <row r="9" spans="2:16" s="3" customFormat="1" ht="28.5" customHeight="1" x14ac:dyDescent="0.25">
      <c r="B9" s="144"/>
      <c r="C9" s="144"/>
      <c r="D9" s="144"/>
      <c r="E9" s="144"/>
      <c r="F9" s="144"/>
      <c r="G9" s="144"/>
      <c r="H9" s="144"/>
      <c r="I9" s="145"/>
      <c r="J9" s="6" t="s">
        <v>7</v>
      </c>
      <c r="K9" s="6" t="s">
        <v>12</v>
      </c>
      <c r="L9" s="6" t="s">
        <v>13</v>
      </c>
      <c r="M9" s="6" t="s">
        <v>35</v>
      </c>
      <c r="N9" s="19" t="s">
        <v>10</v>
      </c>
      <c r="O9" s="19" t="s">
        <v>9</v>
      </c>
      <c r="P9" s="19" t="s">
        <v>69</v>
      </c>
    </row>
    <row r="10" spans="2:16" ht="25.5" customHeight="1" x14ac:dyDescent="0.3">
      <c r="B10" s="7"/>
      <c r="C10" s="152" t="s">
        <v>14</v>
      </c>
      <c r="D10" s="153"/>
      <c r="E10" s="153"/>
      <c r="F10" s="153"/>
      <c r="G10" s="153"/>
      <c r="H10" s="153"/>
      <c r="I10" s="153"/>
      <c r="J10" s="153"/>
      <c r="K10" s="153"/>
      <c r="L10" s="154"/>
      <c r="M10" s="8">
        <f>+M12</f>
        <v>4000</v>
      </c>
      <c r="N10" s="8">
        <f>+N12</f>
        <v>800</v>
      </c>
      <c r="O10" s="8">
        <f>O12</f>
        <v>3200</v>
      </c>
      <c r="P10" s="8"/>
    </row>
    <row r="11" spans="2:16" ht="25.5" customHeight="1" x14ac:dyDescent="0.3">
      <c r="B11" s="7"/>
      <c r="C11" s="155"/>
      <c r="D11" s="156"/>
      <c r="E11" s="156"/>
      <c r="F11" s="156"/>
      <c r="G11" s="156"/>
      <c r="H11" s="156"/>
      <c r="I11" s="156"/>
      <c r="J11" s="156"/>
      <c r="K11" s="156"/>
      <c r="L11" s="157"/>
      <c r="M11" s="8" t="s">
        <v>67</v>
      </c>
      <c r="N11" s="28">
        <f>+N10/M10</f>
        <v>0.2</v>
      </c>
      <c r="O11" s="28">
        <f>+O10/M10</f>
        <v>0.8</v>
      </c>
      <c r="P11" s="28"/>
    </row>
    <row r="12" spans="2:16" s="1" customFormat="1" ht="15" customHeight="1" x14ac:dyDescent="0.3">
      <c r="B12" s="10"/>
      <c r="C12" s="150" t="s">
        <v>107</v>
      </c>
      <c r="D12" s="150"/>
      <c r="E12" s="150"/>
      <c r="F12" s="150"/>
      <c r="G12" s="150"/>
      <c r="H12" s="150"/>
      <c r="I12" s="150"/>
      <c r="J12" s="146" t="s">
        <v>98</v>
      </c>
      <c r="K12" s="146"/>
      <c r="L12" s="146"/>
      <c r="M12" s="9">
        <f>SUM(M13:M13)</f>
        <v>4000</v>
      </c>
      <c r="N12" s="9">
        <f>M12*0.2</f>
        <v>800</v>
      </c>
      <c r="O12" s="9">
        <f>M12*0.8</f>
        <v>3200</v>
      </c>
      <c r="P12" s="9"/>
    </row>
    <row r="13" spans="2:16" ht="247.5" customHeight="1" x14ac:dyDescent="0.3">
      <c r="B13" s="147" t="s">
        <v>94</v>
      </c>
      <c r="C13" s="147"/>
      <c r="D13" s="147"/>
      <c r="E13" s="147"/>
      <c r="F13" s="147"/>
      <c r="G13" s="148" t="s">
        <v>106</v>
      </c>
      <c r="H13" s="149"/>
      <c r="I13" s="149"/>
      <c r="J13" s="10" t="s">
        <v>83</v>
      </c>
      <c r="K13" s="10">
        <v>2</v>
      </c>
      <c r="L13" s="5">
        <v>2000</v>
      </c>
      <c r="M13" s="5">
        <f t="shared" ref="M13" si="0">+K13*L13</f>
        <v>4000</v>
      </c>
      <c r="N13" s="5">
        <f t="shared" ref="N13" si="1">+M13*0.2</f>
        <v>800</v>
      </c>
      <c r="O13" s="5">
        <f t="shared" ref="O13" si="2">+M13*0.8</f>
        <v>3200</v>
      </c>
      <c r="P13" s="5" t="s">
        <v>87</v>
      </c>
    </row>
    <row r="14" spans="2:16" ht="9.75" customHeight="1" x14ac:dyDescent="0.3"/>
    <row r="15" spans="2:16" ht="13.5" customHeight="1" x14ac:dyDescent="0.3">
      <c r="C15" s="140" t="s">
        <v>105</v>
      </c>
      <c r="D15" s="140"/>
      <c r="E15" s="140"/>
      <c r="F15" s="140"/>
      <c r="G15" s="140"/>
      <c r="H15" s="140"/>
      <c r="O15" s="2" t="s">
        <v>74</v>
      </c>
    </row>
    <row r="17" ht="0" hidden="1" customHeight="1" x14ac:dyDescent="0.3"/>
  </sheetData>
  <mergeCells count="20">
    <mergeCell ref="C15:H15"/>
    <mergeCell ref="C7:D7"/>
    <mergeCell ref="E7:O7"/>
    <mergeCell ref="G8:I9"/>
    <mergeCell ref="B8:F9"/>
    <mergeCell ref="J12:L12"/>
    <mergeCell ref="B13:F13"/>
    <mergeCell ref="G13:I13"/>
    <mergeCell ref="C12:I12"/>
    <mergeCell ref="N8:O8"/>
    <mergeCell ref="J8:M8"/>
    <mergeCell ref="C10:L11"/>
    <mergeCell ref="C1:G1"/>
    <mergeCell ref="C4:D4"/>
    <mergeCell ref="E4:H4"/>
    <mergeCell ref="C6:D6"/>
    <mergeCell ref="E6:H6"/>
    <mergeCell ref="C3:O3"/>
    <mergeCell ref="C5:D5"/>
    <mergeCell ref="E5:L5"/>
  </mergeCells>
  <pageMargins left="0.196850393700787" right="0.196850393700787" top="0.196850393700787" bottom="0.196850393700787" header="0.196850393700787" footer="0.196850393700787"/>
  <pageSetup paperSize="9" scale="85" fitToHeight="2"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T20"/>
  <sheetViews>
    <sheetView showGridLines="0" zoomScale="90" zoomScaleNormal="90" workbookViewId="0">
      <selection activeCell="K13" sqref="K13"/>
    </sheetView>
  </sheetViews>
  <sheetFormatPr baseColWidth="10" defaultColWidth="11.44140625" defaultRowHeight="14.4" x14ac:dyDescent="0.3"/>
  <cols>
    <col min="1" max="1" width="1.88671875" customWidth="1"/>
    <col min="2" max="2" width="3.5546875" style="2" customWidth="1"/>
    <col min="3" max="3" width="12.109375" customWidth="1"/>
    <col min="4" max="4" width="10.5546875" customWidth="1"/>
    <col min="5" max="5" width="30.6640625" customWidth="1"/>
    <col min="6" max="6" width="23.109375" bestFit="1" customWidth="1"/>
    <col min="7" max="7" width="12.33203125" customWidth="1"/>
    <col min="8" max="8" width="13.5546875" style="23" customWidth="1"/>
    <col min="9" max="9" width="7.88671875" bestFit="1" customWidth="1"/>
    <col min="10" max="10" width="7.44140625" bestFit="1" customWidth="1"/>
    <col min="11" max="11" width="9.109375" customWidth="1"/>
    <col min="12" max="12" width="8.109375" bestFit="1" customWidth="1"/>
    <col min="13" max="13" width="7.5546875" bestFit="1" customWidth="1"/>
    <col min="14" max="14" width="7.44140625" bestFit="1" customWidth="1"/>
    <col min="15" max="15" width="9.88671875" style="1" customWidth="1"/>
    <col min="16" max="16" width="7.6640625" style="1" bestFit="1" customWidth="1"/>
    <col min="17" max="17" width="9.33203125" style="1" customWidth="1"/>
    <col min="18" max="18" width="8.109375" style="1" customWidth="1"/>
    <col min="19" max="19" width="7.44140625" style="1" bestFit="1" customWidth="1"/>
    <col min="20" max="20" width="8.5546875" customWidth="1"/>
  </cols>
  <sheetData>
    <row r="1" spans="2:20" ht="3" customHeight="1" x14ac:dyDescent="0.3"/>
    <row r="2" spans="2:20" ht="0.9" customHeight="1" x14ac:dyDescent="0.3"/>
    <row r="3" spans="2:20" ht="31.2" customHeight="1" x14ac:dyDescent="0.3">
      <c r="B3" s="133"/>
      <c r="C3" s="133"/>
      <c r="D3" s="133"/>
    </row>
    <row r="4" spans="2:20" ht="2.4" customHeight="1" x14ac:dyDescent="0.3"/>
    <row r="5" spans="2:20" ht="27" customHeight="1" x14ac:dyDescent="0.3">
      <c r="B5" s="159" t="s">
        <v>88</v>
      </c>
      <c r="C5" s="159"/>
      <c r="D5" s="159"/>
      <c r="E5" s="159"/>
      <c r="F5" s="159"/>
      <c r="G5" s="159"/>
      <c r="H5" s="159"/>
      <c r="I5" s="159"/>
      <c r="J5" s="159"/>
      <c r="K5" s="159"/>
      <c r="L5" s="159"/>
      <c r="M5" s="159"/>
      <c r="N5" s="159"/>
      <c r="O5" s="159"/>
      <c r="P5" s="159"/>
      <c r="Q5" s="159"/>
      <c r="R5" s="159"/>
      <c r="S5" s="159"/>
      <c r="T5" s="159"/>
    </row>
    <row r="6" spans="2:20" ht="12.75" customHeight="1" x14ac:dyDescent="0.3">
      <c r="B6" s="158" t="s">
        <v>3</v>
      </c>
      <c r="C6" s="133"/>
      <c r="D6" s="160" t="s">
        <v>129</v>
      </c>
      <c r="E6" s="160"/>
      <c r="F6" s="21"/>
      <c r="G6" s="21"/>
      <c r="H6" s="24"/>
      <c r="I6" s="21"/>
      <c r="J6" s="21"/>
      <c r="N6" s="2"/>
    </row>
    <row r="7" spans="2:20" ht="12.75" customHeight="1" x14ac:dyDescent="0.3">
      <c r="B7" s="158" t="s">
        <v>16</v>
      </c>
      <c r="C7" s="133"/>
      <c r="D7" s="160" t="str">
        <f>+Caratula!C7</f>
        <v>ASOCIACION DE PRODUCTORES AGROPECUARIOS MICROCUENCA NORTE RIO NUÑOA</v>
      </c>
      <c r="E7" s="160"/>
      <c r="F7" s="160"/>
      <c r="G7" s="160"/>
      <c r="H7" s="160"/>
      <c r="I7" s="160"/>
      <c r="J7" s="160"/>
      <c r="K7" s="160"/>
      <c r="L7" s="160"/>
      <c r="M7" s="34"/>
      <c r="N7" s="34"/>
    </row>
    <row r="8" spans="2:20" ht="12.75" customHeight="1" x14ac:dyDescent="0.3">
      <c r="B8" s="158" t="s">
        <v>4</v>
      </c>
      <c r="C8" s="133"/>
      <c r="D8" s="160">
        <f>+Caratula!J7</f>
        <v>20448433316</v>
      </c>
      <c r="E8" s="160"/>
      <c r="F8" s="21"/>
      <c r="G8" s="21"/>
      <c r="H8" s="24"/>
      <c r="I8" s="21"/>
      <c r="J8" s="21"/>
      <c r="N8" s="2"/>
    </row>
    <row r="9" spans="2:20" ht="12.75" customHeight="1" x14ac:dyDescent="0.3">
      <c r="B9" s="161" t="s">
        <v>5</v>
      </c>
      <c r="C9" s="161"/>
      <c r="D9" s="136" t="str">
        <f>+Caratula!C8</f>
        <v>MEJORAMIENTO DEL MANEJO PRUDUCTIVO DE LA ALPACA</v>
      </c>
      <c r="E9" s="135"/>
      <c r="F9" s="135"/>
      <c r="G9" s="135"/>
      <c r="H9" s="135"/>
      <c r="I9" s="135"/>
      <c r="J9" s="135"/>
      <c r="K9" s="135"/>
      <c r="L9" s="135"/>
      <c r="M9" s="13"/>
      <c r="N9" s="13"/>
    </row>
    <row r="10" spans="2:20" ht="9.15" customHeight="1" thickBot="1" x14ac:dyDescent="0.35">
      <c r="I10" s="21"/>
      <c r="J10" s="21"/>
    </row>
    <row r="11" spans="2:20" s="1" customFormat="1" ht="15.75" customHeight="1" thickBot="1" x14ac:dyDescent="0.35">
      <c r="B11" s="162" t="s">
        <v>6</v>
      </c>
      <c r="C11" s="164" t="s">
        <v>72</v>
      </c>
      <c r="D11" s="165"/>
      <c r="E11" s="168" t="s">
        <v>34</v>
      </c>
      <c r="F11" s="168" t="s">
        <v>49</v>
      </c>
      <c r="G11" s="168" t="s">
        <v>50</v>
      </c>
      <c r="H11" s="168" t="s">
        <v>53</v>
      </c>
      <c r="I11" s="170" t="s">
        <v>58</v>
      </c>
      <c r="J11" s="171"/>
      <c r="K11" s="171"/>
      <c r="L11" s="171"/>
      <c r="M11" s="171"/>
      <c r="N11" s="172"/>
      <c r="O11" s="170" t="s">
        <v>59</v>
      </c>
      <c r="P11" s="171"/>
      <c r="Q11" s="171"/>
      <c r="R11" s="171"/>
      <c r="S11" s="171"/>
      <c r="T11" s="172"/>
    </row>
    <row r="12" spans="2:20" s="1" customFormat="1" ht="15" thickBot="1" x14ac:dyDescent="0.35">
      <c r="B12" s="163"/>
      <c r="C12" s="166"/>
      <c r="D12" s="167"/>
      <c r="E12" s="169"/>
      <c r="F12" s="169"/>
      <c r="G12" s="169"/>
      <c r="H12" s="169"/>
      <c r="I12" s="90">
        <v>46114</v>
      </c>
      <c r="J12" s="90">
        <v>46144</v>
      </c>
      <c r="K12" s="90">
        <v>46175</v>
      </c>
      <c r="L12" s="90">
        <v>46205</v>
      </c>
      <c r="M12" s="90">
        <v>46236</v>
      </c>
      <c r="N12" s="90">
        <v>46267</v>
      </c>
      <c r="O12" s="90">
        <v>46297</v>
      </c>
      <c r="P12" s="90">
        <v>46328</v>
      </c>
      <c r="Q12" s="90">
        <v>46358</v>
      </c>
      <c r="R12" s="90">
        <v>46389</v>
      </c>
      <c r="S12" s="90">
        <v>46420</v>
      </c>
      <c r="T12" s="90">
        <v>46448</v>
      </c>
    </row>
    <row r="13" spans="2:20" ht="66" customHeight="1" thickBot="1" x14ac:dyDescent="0.35">
      <c r="B13" s="102">
        <v>4</v>
      </c>
      <c r="C13" s="174" t="str">
        <f>'Formato 01'!C12:I12</f>
        <v>1.4. Desarrollar capacidades para una eficiente  gestión comercial de organización</v>
      </c>
      <c r="D13" s="175"/>
      <c r="E13" s="29" t="str">
        <f>'Formato 01'!B13</f>
        <v xml:space="preserve">Coordinador del PNT </v>
      </c>
      <c r="F13" s="37" t="s">
        <v>75</v>
      </c>
      <c r="G13" s="37" t="s">
        <v>97</v>
      </c>
      <c r="H13" s="30">
        <f>+'Formato 01'!K13</f>
        <v>2</v>
      </c>
      <c r="I13" s="27">
        <v>1</v>
      </c>
      <c r="J13" s="33">
        <v>1</v>
      </c>
      <c r="K13" s="33"/>
      <c r="L13" s="33"/>
      <c r="M13" s="33"/>
      <c r="N13" s="36"/>
      <c r="O13" s="35"/>
      <c r="P13" s="31"/>
      <c r="Q13" s="31"/>
      <c r="R13" s="31"/>
      <c r="S13" s="31"/>
      <c r="T13" s="32"/>
    </row>
    <row r="14" spans="2:20" s="1" customFormat="1" ht="16.95" customHeight="1" x14ac:dyDescent="0.3">
      <c r="B14" s="173"/>
      <c r="C14" s="173"/>
      <c r="D14" s="173"/>
      <c r="E14" s="173"/>
      <c r="F14" s="173"/>
      <c r="G14" s="173"/>
      <c r="H14" s="173"/>
      <c r="I14" s="173"/>
      <c r="J14" s="173"/>
      <c r="K14" s="173"/>
      <c r="L14" s="173"/>
      <c r="M14" s="173"/>
      <c r="N14" s="173"/>
    </row>
    <row r="15" spans="2:20" s="1" customFormat="1" ht="12.75" customHeight="1" x14ac:dyDescent="0.3">
      <c r="B15" s="16"/>
      <c r="C15" s="17"/>
      <c r="D15" s="18"/>
      <c r="E15" s="18"/>
      <c r="F15" s="18"/>
      <c r="G15" s="18"/>
      <c r="H15" s="25"/>
      <c r="I15" s="20"/>
      <c r="J15" s="20"/>
      <c r="K15" s="20"/>
      <c r="L15" s="20"/>
      <c r="M15" s="20"/>
      <c r="N15" s="20"/>
    </row>
    <row r="16" spans="2:20" s="4" customFormat="1" ht="15" customHeight="1" x14ac:dyDescent="0.3">
      <c r="B16" s="17"/>
      <c r="C16" s="140" t="s">
        <v>105</v>
      </c>
      <c r="D16" s="140"/>
      <c r="E16" s="140"/>
      <c r="F16" s="140"/>
      <c r="G16" s="140"/>
      <c r="H16" s="140"/>
      <c r="O16" s="1"/>
      <c r="P16" s="1"/>
      <c r="Q16" s="1"/>
      <c r="R16" s="1"/>
      <c r="S16" s="1"/>
    </row>
    <row r="17" spans="3:19" ht="11.25" customHeight="1" x14ac:dyDescent="0.3"/>
    <row r="18" spans="3:19" ht="11.7" customHeight="1" x14ac:dyDescent="0.3"/>
    <row r="19" spans="3:19" ht="0" hidden="1" customHeight="1" x14ac:dyDescent="0.3"/>
    <row r="20" spans="3:19" s="2" customFormat="1" ht="0" hidden="1" customHeight="1" x14ac:dyDescent="0.3">
      <c r="C20"/>
      <c r="D20"/>
      <c r="E20"/>
      <c r="F20"/>
      <c r="G20"/>
      <c r="H20" s="23"/>
      <c r="I20"/>
      <c r="J20"/>
      <c r="K20"/>
      <c r="L20"/>
      <c r="M20"/>
      <c r="N20"/>
      <c r="O20" s="1"/>
      <c r="P20" s="1"/>
      <c r="Q20" s="1"/>
      <c r="R20" s="1"/>
      <c r="S20" s="1"/>
    </row>
  </sheetData>
  <mergeCells count="21">
    <mergeCell ref="G11:G12"/>
    <mergeCell ref="F11:F12"/>
    <mergeCell ref="O11:T11"/>
    <mergeCell ref="E11:E12"/>
    <mergeCell ref="C13:D13"/>
    <mergeCell ref="C16:H16"/>
    <mergeCell ref="B3:D3"/>
    <mergeCell ref="B6:C6"/>
    <mergeCell ref="B7:C7"/>
    <mergeCell ref="B5:T5"/>
    <mergeCell ref="D6:E6"/>
    <mergeCell ref="D7:L7"/>
    <mergeCell ref="D8:E8"/>
    <mergeCell ref="D9:L9"/>
    <mergeCell ref="B8:C8"/>
    <mergeCell ref="B9:C9"/>
    <mergeCell ref="B11:B12"/>
    <mergeCell ref="C11:D12"/>
    <mergeCell ref="H11:H12"/>
    <mergeCell ref="I11:N11"/>
    <mergeCell ref="B14:N14"/>
  </mergeCells>
  <phoneticPr fontId="28" type="noConversion"/>
  <pageMargins left="0.39370078740157483" right="0.19685039370078741" top="0.19685039370078741" bottom="0.19685039370078741" header="0.19685039370078741" footer="0.19685039370078741"/>
  <pageSetup paperSize="9" scale="6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T16"/>
  <sheetViews>
    <sheetView showGridLines="0" zoomScale="90" zoomScaleNormal="90" workbookViewId="0">
      <selection activeCell="M23" sqref="M23"/>
    </sheetView>
  </sheetViews>
  <sheetFormatPr baseColWidth="10" defaultColWidth="11.44140625" defaultRowHeight="14.4" x14ac:dyDescent="0.3"/>
  <cols>
    <col min="1" max="1" width="1.88671875" customWidth="1"/>
    <col min="2" max="2" width="3.5546875" style="2" customWidth="1"/>
    <col min="3" max="3" width="12.109375" customWidth="1"/>
    <col min="4" max="4" width="10.5546875" customWidth="1"/>
    <col min="5" max="5" width="30.6640625" customWidth="1"/>
    <col min="6" max="6" width="23.109375" bestFit="1" customWidth="1"/>
    <col min="7" max="7" width="12.33203125" customWidth="1"/>
    <col min="8" max="8" width="13.5546875" style="23" customWidth="1"/>
    <col min="9" max="9" width="10.5546875" customWidth="1"/>
    <col min="10" max="10" width="11" customWidth="1"/>
    <col min="11" max="11" width="12.44140625" customWidth="1"/>
    <col min="12" max="12" width="15.109375" customWidth="1"/>
    <col min="13" max="13" width="10.109375" bestFit="1" customWidth="1"/>
    <col min="14" max="14" width="13.109375" customWidth="1"/>
    <col min="15" max="15" width="9.88671875" style="1" customWidth="1"/>
    <col min="16" max="16" width="8.44140625" style="1" bestFit="1" customWidth="1"/>
    <col min="17" max="17" width="9.33203125" style="1" customWidth="1"/>
    <col min="18" max="18" width="8.109375" style="1" customWidth="1"/>
    <col min="19" max="19" width="8.44140625" style="1" bestFit="1" customWidth="1"/>
    <col min="20" max="20" width="8.5546875" customWidth="1"/>
  </cols>
  <sheetData>
    <row r="1" spans="2:20" ht="3" customHeight="1" x14ac:dyDescent="0.3"/>
    <row r="2" spans="2:20" ht="0.9" customHeight="1" x14ac:dyDescent="0.3"/>
    <row r="3" spans="2:20" ht="31.2" customHeight="1" x14ac:dyDescent="0.3">
      <c r="B3" s="133"/>
      <c r="C3" s="133"/>
      <c r="D3" s="133"/>
    </row>
    <row r="4" spans="2:20" ht="2.4" customHeight="1" x14ac:dyDescent="0.3"/>
    <row r="5" spans="2:20" ht="27" customHeight="1" x14ac:dyDescent="0.3">
      <c r="B5" s="159" t="s">
        <v>89</v>
      </c>
      <c r="C5" s="159"/>
      <c r="D5" s="159"/>
      <c r="E5" s="159"/>
      <c r="F5" s="159"/>
      <c r="G5" s="159"/>
      <c r="H5" s="159"/>
      <c r="I5" s="159"/>
      <c r="J5" s="159"/>
      <c r="K5" s="159"/>
      <c r="L5" s="159"/>
      <c r="M5" s="159"/>
      <c r="N5" s="159"/>
      <c r="O5" s="159"/>
      <c r="P5" s="159"/>
      <c r="Q5" s="159"/>
      <c r="R5" s="159"/>
      <c r="S5" s="159"/>
      <c r="T5" s="159"/>
    </row>
    <row r="6" spans="2:20" ht="12.75" customHeight="1" x14ac:dyDescent="0.3">
      <c r="B6" s="158" t="s">
        <v>3</v>
      </c>
      <c r="C6" s="133"/>
      <c r="D6" s="160" t="s">
        <v>129</v>
      </c>
      <c r="E6" s="160"/>
      <c r="F6" s="21"/>
      <c r="G6" s="21"/>
      <c r="H6" s="24"/>
      <c r="I6" s="21"/>
      <c r="J6" s="21"/>
      <c r="N6" s="2"/>
    </row>
    <row r="7" spans="2:20" ht="12.75" customHeight="1" x14ac:dyDescent="0.3">
      <c r="B7" s="158" t="s">
        <v>16</v>
      </c>
      <c r="C7" s="133"/>
      <c r="D7" s="160" t="str">
        <f>+Caratula!C7</f>
        <v>ASOCIACION DE PRODUCTORES AGROPECUARIOS MICROCUENCA NORTE RIO NUÑOA</v>
      </c>
      <c r="E7" s="160"/>
      <c r="F7" s="160"/>
      <c r="G7" s="160"/>
      <c r="H7" s="160"/>
      <c r="I7" s="160"/>
      <c r="J7" s="160"/>
      <c r="K7" s="160"/>
      <c r="L7" s="160"/>
      <c r="M7" s="34"/>
      <c r="N7" s="34"/>
    </row>
    <row r="8" spans="2:20" ht="12.75" customHeight="1" x14ac:dyDescent="0.3">
      <c r="B8" s="158" t="s">
        <v>4</v>
      </c>
      <c r="C8" s="133"/>
      <c r="D8" s="160">
        <f>+Caratula!J7</f>
        <v>20448433316</v>
      </c>
      <c r="E8" s="160"/>
      <c r="F8" s="21"/>
      <c r="G8" s="21"/>
      <c r="H8" s="24"/>
      <c r="I8" s="21"/>
      <c r="J8" s="21"/>
      <c r="N8" s="2"/>
    </row>
    <row r="9" spans="2:20" ht="12.75" customHeight="1" x14ac:dyDescent="0.3">
      <c r="B9" s="161" t="s">
        <v>5</v>
      </c>
      <c r="C9" s="161"/>
      <c r="D9" s="136" t="str">
        <f>+Caratula!C8</f>
        <v>MEJORAMIENTO DEL MANEJO PRUDUCTIVO DE LA ALPACA</v>
      </c>
      <c r="E9" s="135"/>
      <c r="F9" s="135"/>
      <c r="G9" s="135"/>
      <c r="H9" s="135"/>
      <c r="I9" s="135"/>
      <c r="J9" s="135"/>
      <c r="K9" s="135"/>
      <c r="L9" s="135"/>
      <c r="M9" s="13"/>
      <c r="N9" s="13"/>
    </row>
    <row r="10" spans="2:20" ht="9.15" customHeight="1" thickBot="1" x14ac:dyDescent="0.35">
      <c r="I10" s="21"/>
      <c r="J10" s="21"/>
    </row>
    <row r="11" spans="2:20" s="1" customFormat="1" ht="15.75" customHeight="1" thickBot="1" x14ac:dyDescent="0.35">
      <c r="B11" s="162" t="s">
        <v>6</v>
      </c>
      <c r="C11" s="164" t="s">
        <v>72</v>
      </c>
      <c r="D11" s="165"/>
      <c r="E11" s="168" t="s">
        <v>34</v>
      </c>
      <c r="F11" s="168" t="s">
        <v>49</v>
      </c>
      <c r="G11" s="168" t="s">
        <v>50</v>
      </c>
      <c r="H11" s="168" t="s">
        <v>53</v>
      </c>
      <c r="I11" s="170" t="s">
        <v>58</v>
      </c>
      <c r="J11" s="171"/>
      <c r="K11" s="171"/>
      <c r="L11" s="171"/>
      <c r="M11" s="171"/>
      <c r="N11" s="172"/>
      <c r="O11" s="170" t="s">
        <v>59</v>
      </c>
      <c r="P11" s="171"/>
      <c r="Q11" s="171"/>
      <c r="R11" s="171"/>
      <c r="S11" s="171"/>
      <c r="T11" s="172"/>
    </row>
    <row r="12" spans="2:20" s="1" customFormat="1" ht="15" thickBot="1" x14ac:dyDescent="0.35">
      <c r="B12" s="163"/>
      <c r="C12" s="166"/>
      <c r="D12" s="167"/>
      <c r="E12" s="169"/>
      <c r="F12" s="169"/>
      <c r="G12" s="169"/>
      <c r="H12" s="169"/>
      <c r="I12" s="90">
        <v>46114</v>
      </c>
      <c r="J12" s="90">
        <v>46144</v>
      </c>
      <c r="K12" s="90">
        <v>46175</v>
      </c>
      <c r="L12" s="90">
        <v>46205</v>
      </c>
      <c r="M12" s="90">
        <v>46236</v>
      </c>
      <c r="N12" s="90">
        <v>46267</v>
      </c>
      <c r="O12" s="90">
        <v>46297</v>
      </c>
      <c r="P12" s="90">
        <v>46328</v>
      </c>
      <c r="Q12" s="90">
        <v>46358</v>
      </c>
      <c r="R12" s="90">
        <v>46389</v>
      </c>
      <c r="S12" s="90">
        <v>46420</v>
      </c>
      <c r="T12" s="90">
        <v>46448</v>
      </c>
    </row>
    <row r="13" spans="2:20" ht="78.75" customHeight="1" thickBot="1" x14ac:dyDescent="0.35">
      <c r="B13" s="102">
        <v>4</v>
      </c>
      <c r="C13" s="176" t="str">
        <f>'Formato 01'!C12:I12</f>
        <v>1.4. Desarrollar capacidades para una eficiente  gestión comercial de organización</v>
      </c>
      <c r="D13" s="177"/>
      <c r="E13" s="29" t="str">
        <f>'Formato 01'!B13</f>
        <v xml:space="preserve">Coordinador del PNT </v>
      </c>
      <c r="F13" s="37" t="s">
        <v>75</v>
      </c>
      <c r="G13" s="37" t="s">
        <v>86</v>
      </c>
      <c r="H13" s="83">
        <f>'Formato 01'!M13</f>
        <v>4000</v>
      </c>
      <c r="I13" s="103">
        <v>2000</v>
      </c>
      <c r="J13" s="104">
        <v>2000</v>
      </c>
      <c r="K13" s="84"/>
      <c r="L13" s="84"/>
      <c r="M13" s="84"/>
      <c r="N13" s="87"/>
      <c r="O13" s="88"/>
      <c r="P13" s="85"/>
      <c r="Q13" s="85"/>
      <c r="R13" s="85"/>
      <c r="S13" s="85"/>
      <c r="T13" s="86"/>
    </row>
    <row r="16" spans="2:20" ht="15" customHeight="1" x14ac:dyDescent="0.3">
      <c r="C16" s="140" t="s">
        <v>105</v>
      </c>
      <c r="D16" s="140"/>
      <c r="E16" s="140"/>
      <c r="F16" s="140"/>
      <c r="G16" s="140"/>
      <c r="H16" s="140"/>
    </row>
  </sheetData>
  <mergeCells count="20">
    <mergeCell ref="C16:H16"/>
    <mergeCell ref="O11:T11"/>
    <mergeCell ref="B11:B12"/>
    <mergeCell ref="C11:D12"/>
    <mergeCell ref="E11:E12"/>
    <mergeCell ref="F11:F12"/>
    <mergeCell ref="G11:G12"/>
    <mergeCell ref="H11:H12"/>
    <mergeCell ref="I11:N11"/>
    <mergeCell ref="C13:D13"/>
    <mergeCell ref="B8:C8"/>
    <mergeCell ref="D8:E8"/>
    <mergeCell ref="B9:C9"/>
    <mergeCell ref="D9:L9"/>
    <mergeCell ref="B3:D3"/>
    <mergeCell ref="B5:T5"/>
    <mergeCell ref="B6:C6"/>
    <mergeCell ref="D6:E6"/>
    <mergeCell ref="B7:C7"/>
    <mergeCell ref="D7:L7"/>
  </mergeCells>
  <pageMargins left="0.39370078740157483" right="0.19685039370078741" top="0.19685039370078741" bottom="0.19685039370078741" header="0.19685039370078741" footer="0.19685039370078741"/>
  <pageSetup paperSize="9" scale="6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L34"/>
  <sheetViews>
    <sheetView showGridLines="0" tabSelected="1" view="pageLayout" topLeftCell="A19" zoomScaleNormal="73" workbookViewId="0">
      <selection activeCell="G22" sqref="G22"/>
    </sheetView>
  </sheetViews>
  <sheetFormatPr baseColWidth="10" defaultRowHeight="14.4" x14ac:dyDescent="0.3"/>
  <cols>
    <col min="1" max="1" width="1.88671875" customWidth="1"/>
    <col min="2" max="2" width="6" style="2" customWidth="1"/>
    <col min="3" max="3" width="12.109375" customWidth="1"/>
    <col min="4" max="4" width="14.6640625" customWidth="1"/>
    <col min="5" max="5" width="16.44140625" customWidth="1"/>
    <col min="6" max="6" width="19.88671875" customWidth="1"/>
    <col min="7" max="8" width="11" bestFit="1" customWidth="1"/>
    <col min="9" max="9" width="11.33203125" customWidth="1"/>
    <col min="10" max="10" width="11.6640625" customWidth="1"/>
    <col min="11" max="11" width="13.6640625" customWidth="1"/>
    <col min="12" max="12" width="14.6640625" customWidth="1"/>
  </cols>
  <sheetData>
    <row r="1" spans="2:12" ht="3" customHeight="1" x14ac:dyDescent="0.3"/>
    <row r="2" spans="2:12" ht="0.9" customHeight="1" x14ac:dyDescent="0.3"/>
    <row r="3" spans="2:12" ht="31.2" customHeight="1" x14ac:dyDescent="0.3">
      <c r="B3" s="133"/>
      <c r="C3" s="133"/>
      <c r="D3" s="133"/>
    </row>
    <row r="4" spans="2:12" ht="2.4" customHeight="1" x14ac:dyDescent="0.3"/>
    <row r="5" spans="2:12" ht="27" customHeight="1" x14ac:dyDescent="0.3">
      <c r="B5" s="199" t="s">
        <v>60</v>
      </c>
      <c r="C5" s="199"/>
      <c r="D5" s="199"/>
      <c r="E5" s="199"/>
      <c r="F5" s="199"/>
      <c r="G5" s="199"/>
      <c r="H5" s="199"/>
      <c r="I5" s="199"/>
      <c r="J5" s="199"/>
      <c r="K5" s="199"/>
    </row>
    <row r="6" spans="2:12" ht="12.75" customHeight="1" x14ac:dyDescent="0.3">
      <c r="B6" s="158" t="s">
        <v>3</v>
      </c>
      <c r="C6" s="158"/>
      <c r="D6" s="160" t="s">
        <v>129</v>
      </c>
      <c r="E6" s="160"/>
      <c r="F6" s="160"/>
      <c r="G6" s="160"/>
      <c r="H6" s="160"/>
      <c r="I6" s="160"/>
      <c r="K6" s="2"/>
      <c r="L6" s="2"/>
    </row>
    <row r="7" spans="2:12" ht="12.75" customHeight="1" x14ac:dyDescent="0.3">
      <c r="B7" s="158" t="s">
        <v>16</v>
      </c>
      <c r="C7" s="158"/>
      <c r="D7" s="160" t="str">
        <f>+Caratula!C7</f>
        <v>ASOCIACION DE PRODUCTORES AGROPECUARIOS MICROCUENCA NORTE RIO NUÑOA</v>
      </c>
      <c r="E7" s="160"/>
      <c r="F7" s="160"/>
      <c r="G7" s="160"/>
      <c r="H7" s="160"/>
      <c r="I7" s="160"/>
      <c r="J7" s="160"/>
      <c r="K7" s="160"/>
      <c r="L7" s="21"/>
    </row>
    <row r="8" spans="2:12" ht="12.75" customHeight="1" x14ac:dyDescent="0.3">
      <c r="B8" s="158" t="s">
        <v>4</v>
      </c>
      <c r="C8" s="158"/>
      <c r="D8" s="160">
        <f>+Caratula!J7</f>
        <v>20448433316</v>
      </c>
      <c r="E8" s="160"/>
      <c r="F8" s="160"/>
      <c r="G8" s="160"/>
      <c r="H8" s="160"/>
      <c r="I8" s="160"/>
      <c r="K8" s="2"/>
      <c r="L8" s="2"/>
    </row>
    <row r="9" spans="2:12" ht="12.75" customHeight="1" x14ac:dyDescent="0.3">
      <c r="B9" s="161" t="s">
        <v>5</v>
      </c>
      <c r="C9" s="161"/>
      <c r="D9" s="137" t="str">
        <f>+Caratula!C8</f>
        <v>MEJORAMIENTO DEL MANEJO PRUDUCTIVO DE LA ALPACA</v>
      </c>
      <c r="E9" s="137"/>
      <c r="F9" s="137"/>
      <c r="G9" s="137"/>
      <c r="H9" s="137"/>
      <c r="I9" s="137"/>
      <c r="J9" s="137"/>
      <c r="K9" s="137"/>
      <c r="L9" s="13"/>
    </row>
    <row r="10" spans="2:12" ht="12.75" customHeight="1" x14ac:dyDescent="0.3">
      <c r="B10" s="64"/>
      <c r="C10" s="64"/>
      <c r="D10" s="198"/>
      <c r="E10" s="198"/>
      <c r="F10" s="198"/>
      <c r="G10" s="198"/>
      <c r="H10" s="198"/>
      <c r="I10" s="198"/>
      <c r="J10" s="198"/>
      <c r="K10" s="198"/>
      <c r="L10" s="13"/>
    </row>
    <row r="11" spans="2:12" ht="21.75" customHeight="1" x14ac:dyDescent="0.3">
      <c r="B11" s="182"/>
      <c r="C11" s="188" t="s">
        <v>61</v>
      </c>
      <c r="D11" s="189"/>
      <c r="E11" s="182" t="s">
        <v>76</v>
      </c>
      <c r="F11" s="182" t="s">
        <v>73</v>
      </c>
      <c r="G11" s="65" t="s">
        <v>52</v>
      </c>
      <c r="H11" s="65" t="s">
        <v>62</v>
      </c>
      <c r="I11" s="186" t="s">
        <v>66</v>
      </c>
      <c r="J11" s="187"/>
      <c r="K11" s="26" t="s">
        <v>64</v>
      </c>
      <c r="L11" s="182" t="s">
        <v>49</v>
      </c>
    </row>
    <row r="12" spans="2:12" s="1" customFormat="1" ht="16.5" customHeight="1" thickBot="1" x14ac:dyDescent="0.35">
      <c r="B12" s="183"/>
      <c r="C12" s="190"/>
      <c r="D12" s="191"/>
      <c r="E12" s="183"/>
      <c r="F12" s="183"/>
      <c r="G12" s="66" t="s">
        <v>33</v>
      </c>
      <c r="H12" s="66" t="s">
        <v>63</v>
      </c>
      <c r="I12" s="66" t="s">
        <v>58</v>
      </c>
      <c r="J12" s="66" t="s">
        <v>59</v>
      </c>
      <c r="K12" s="66" t="s">
        <v>65</v>
      </c>
      <c r="L12" s="183"/>
    </row>
    <row r="13" spans="2:12" s="1" customFormat="1" ht="78.75" customHeight="1" thickBot="1" x14ac:dyDescent="0.35">
      <c r="B13" s="67"/>
      <c r="C13" s="194" t="s">
        <v>101</v>
      </c>
      <c r="D13" s="195"/>
      <c r="E13" s="178" t="s">
        <v>111</v>
      </c>
      <c r="F13" s="73" t="s">
        <v>109</v>
      </c>
      <c r="G13" s="74">
        <v>778</v>
      </c>
      <c r="H13" s="74">
        <v>1799</v>
      </c>
      <c r="I13" s="74">
        <f>(1799)*0.4</f>
        <v>719.6</v>
      </c>
      <c r="J13" s="74">
        <f>(1799)*0.6</f>
        <v>1079.3999999999999</v>
      </c>
      <c r="K13" s="74">
        <f>I13+J13</f>
        <v>1799</v>
      </c>
      <c r="L13" s="75" t="s">
        <v>92</v>
      </c>
    </row>
    <row r="14" spans="2:12" s="1" customFormat="1" ht="78.75" customHeight="1" thickBot="1" x14ac:dyDescent="0.35">
      <c r="B14" s="68"/>
      <c r="C14" s="196"/>
      <c r="D14" s="197"/>
      <c r="E14" s="179"/>
      <c r="F14" s="73" t="s">
        <v>110</v>
      </c>
      <c r="G14" s="72">
        <v>15</v>
      </c>
      <c r="H14" s="72">
        <v>15</v>
      </c>
      <c r="I14" s="72">
        <v>15</v>
      </c>
      <c r="J14" s="72">
        <v>15</v>
      </c>
      <c r="K14" s="72">
        <v>15</v>
      </c>
      <c r="L14" s="75" t="s">
        <v>92</v>
      </c>
    </row>
    <row r="15" spans="2:12" s="94" customFormat="1" ht="78.75" customHeight="1" thickBot="1" x14ac:dyDescent="0.35">
      <c r="B15" s="95"/>
      <c r="C15" s="196"/>
      <c r="D15" s="197"/>
      <c r="E15" s="179"/>
      <c r="F15" s="89" t="s">
        <v>112</v>
      </c>
      <c r="G15" s="72">
        <f>G13*G14</f>
        <v>11670</v>
      </c>
      <c r="H15" s="72">
        <f>H13*H14</f>
        <v>26985</v>
      </c>
      <c r="I15" s="72">
        <f>I13*I14</f>
        <v>10794</v>
      </c>
      <c r="J15" s="72">
        <f>J13*J14</f>
        <v>16190.999999999998</v>
      </c>
      <c r="K15" s="72">
        <f>K13*K14</f>
        <v>26985</v>
      </c>
      <c r="L15" s="75" t="s">
        <v>92</v>
      </c>
    </row>
    <row r="16" spans="2:12" s="94" customFormat="1" ht="78.75" customHeight="1" thickBot="1" x14ac:dyDescent="0.35">
      <c r="B16" s="95"/>
      <c r="C16" s="196"/>
      <c r="D16" s="197"/>
      <c r="E16" s="180"/>
      <c r="F16" s="89" t="s">
        <v>119</v>
      </c>
      <c r="G16" s="72">
        <v>0</v>
      </c>
      <c r="H16" s="72">
        <v>0</v>
      </c>
      <c r="I16" s="72">
        <v>0</v>
      </c>
      <c r="J16" s="72">
        <v>0</v>
      </c>
      <c r="K16" s="72">
        <v>0</v>
      </c>
      <c r="L16" s="75" t="s">
        <v>92</v>
      </c>
    </row>
    <row r="17" spans="2:12" s="94" customFormat="1" ht="78.75" customHeight="1" thickBot="1" x14ac:dyDescent="0.35">
      <c r="B17" s="95"/>
      <c r="C17" s="196"/>
      <c r="D17" s="197"/>
      <c r="E17" s="192" t="s">
        <v>115</v>
      </c>
      <c r="F17" s="89" t="s">
        <v>110</v>
      </c>
      <c r="G17" s="72">
        <v>24.6</v>
      </c>
      <c r="H17" s="72">
        <v>28.5</v>
      </c>
      <c r="I17" s="72">
        <v>25.8</v>
      </c>
      <c r="J17" s="72">
        <v>25.8</v>
      </c>
      <c r="K17" s="72">
        <v>25.8</v>
      </c>
      <c r="L17" s="75" t="s">
        <v>92</v>
      </c>
    </row>
    <row r="18" spans="2:12" s="94" customFormat="1" ht="78.75" customHeight="1" thickBot="1" x14ac:dyDescent="0.35">
      <c r="B18" s="95"/>
      <c r="C18" s="196"/>
      <c r="D18" s="197"/>
      <c r="E18" s="180"/>
      <c r="F18" s="89" t="s">
        <v>112</v>
      </c>
      <c r="G18" s="72">
        <f>G13*G17</f>
        <v>19138.800000000003</v>
      </c>
      <c r="H18" s="72">
        <f>H13*H17</f>
        <v>51271.5</v>
      </c>
      <c r="I18" s="72">
        <f>I13*I17</f>
        <v>18565.68</v>
      </c>
      <c r="J18" s="72">
        <f>J13*J17</f>
        <v>27848.519999999997</v>
      </c>
      <c r="K18" s="72">
        <f>K13*K17</f>
        <v>46414.200000000004</v>
      </c>
      <c r="L18" s="75" t="s">
        <v>92</v>
      </c>
    </row>
    <row r="19" spans="2:12" s="94" customFormat="1" ht="78.75" customHeight="1" x14ac:dyDescent="0.3">
      <c r="B19" s="95"/>
      <c r="C19" s="196"/>
      <c r="D19" s="197"/>
      <c r="E19" s="192" t="s">
        <v>70</v>
      </c>
      <c r="F19" s="89" t="s">
        <v>113</v>
      </c>
      <c r="G19" s="72">
        <v>120</v>
      </c>
      <c r="H19" s="72">
        <v>90</v>
      </c>
      <c r="I19" s="72">
        <v>90</v>
      </c>
      <c r="J19" s="72">
        <v>90</v>
      </c>
      <c r="K19" s="72">
        <v>90</v>
      </c>
      <c r="L19" s="75" t="s">
        <v>92</v>
      </c>
    </row>
    <row r="20" spans="2:12" s="1" customFormat="1" ht="78.75" customHeight="1" x14ac:dyDescent="0.3">
      <c r="B20" s="68"/>
      <c r="C20" s="196"/>
      <c r="D20" s="197"/>
      <c r="E20" s="179"/>
      <c r="F20" s="89" t="s">
        <v>114</v>
      </c>
      <c r="G20" s="72">
        <v>0.08</v>
      </c>
      <c r="H20" s="72">
        <v>0.15</v>
      </c>
      <c r="I20" s="72">
        <v>0.12</v>
      </c>
      <c r="J20" s="72">
        <v>0.12</v>
      </c>
      <c r="K20" s="72">
        <v>0.12</v>
      </c>
      <c r="L20" s="76" t="s">
        <v>92</v>
      </c>
    </row>
    <row r="21" spans="2:12" s="94" customFormat="1" ht="78.75" customHeight="1" x14ac:dyDescent="0.3">
      <c r="B21" s="95"/>
      <c r="C21" s="196"/>
      <c r="D21" s="197"/>
      <c r="E21" s="179"/>
      <c r="F21" s="89" t="s">
        <v>121</v>
      </c>
      <c r="G21" s="99">
        <v>0.04</v>
      </c>
      <c r="H21" s="99">
        <v>0.02</v>
      </c>
      <c r="I21" s="99">
        <v>0.02</v>
      </c>
      <c r="J21" s="99">
        <v>0.02</v>
      </c>
      <c r="K21" s="99">
        <v>0.02</v>
      </c>
      <c r="L21" s="76" t="s">
        <v>92</v>
      </c>
    </row>
    <row r="22" spans="2:12" s="1" customFormat="1" ht="78.75" customHeight="1" thickBot="1" x14ac:dyDescent="0.35">
      <c r="B22" s="68"/>
      <c r="C22" s="196"/>
      <c r="D22" s="197"/>
      <c r="E22" s="193"/>
      <c r="F22" s="89" t="s">
        <v>130</v>
      </c>
      <c r="G22" s="69">
        <v>9.6</v>
      </c>
      <c r="H22" s="69">
        <v>13.5</v>
      </c>
      <c r="I22" s="69">
        <v>10.8</v>
      </c>
      <c r="J22" s="69">
        <v>10.8</v>
      </c>
      <c r="K22" s="69">
        <v>10.8</v>
      </c>
      <c r="L22" s="76" t="s">
        <v>92</v>
      </c>
    </row>
    <row r="23" spans="2:12" s="94" customFormat="1" ht="78.75" customHeight="1" x14ac:dyDescent="0.3">
      <c r="B23" s="95"/>
      <c r="C23" s="196"/>
      <c r="D23" s="197"/>
      <c r="E23" s="96"/>
      <c r="F23" s="98" t="s">
        <v>120</v>
      </c>
      <c r="G23" s="92">
        <v>318</v>
      </c>
      <c r="H23" s="92">
        <v>260</v>
      </c>
      <c r="I23" s="92">
        <v>260</v>
      </c>
      <c r="J23" s="92">
        <v>260</v>
      </c>
      <c r="K23" s="92">
        <v>260</v>
      </c>
      <c r="L23" s="76" t="s">
        <v>92</v>
      </c>
    </row>
    <row r="24" spans="2:12" s="1" customFormat="1" ht="56.25" customHeight="1" x14ac:dyDescent="0.3">
      <c r="B24" s="68"/>
      <c r="C24" s="196"/>
      <c r="D24" s="197"/>
      <c r="E24" s="179" t="s">
        <v>116</v>
      </c>
      <c r="F24" s="91" t="s">
        <v>117</v>
      </c>
      <c r="G24" s="92">
        <f>G18</f>
        <v>19138.800000000003</v>
      </c>
      <c r="H24" s="92">
        <f t="shared" ref="H24:K24" si="0">H18</f>
        <v>51271.5</v>
      </c>
      <c r="I24" s="92">
        <f t="shared" si="0"/>
        <v>18565.68</v>
      </c>
      <c r="J24" s="92">
        <f t="shared" si="0"/>
        <v>27848.519999999997</v>
      </c>
      <c r="K24" s="92">
        <f t="shared" si="0"/>
        <v>46414.200000000004</v>
      </c>
      <c r="L24" s="76" t="s">
        <v>92</v>
      </c>
    </row>
    <row r="25" spans="2:12" s="1" customFormat="1" ht="56.25" customHeight="1" x14ac:dyDescent="0.3">
      <c r="B25" s="68"/>
      <c r="C25" s="196"/>
      <c r="D25" s="197"/>
      <c r="E25" s="179"/>
      <c r="F25" s="81" t="s">
        <v>118</v>
      </c>
      <c r="G25" s="92">
        <v>14</v>
      </c>
      <c r="H25" s="92">
        <v>14</v>
      </c>
      <c r="I25" s="92">
        <v>14</v>
      </c>
      <c r="J25" s="92">
        <v>14</v>
      </c>
      <c r="K25" s="92">
        <v>14</v>
      </c>
      <c r="L25" s="76" t="s">
        <v>95</v>
      </c>
    </row>
    <row r="26" spans="2:12" s="1" customFormat="1" ht="56.25" customHeight="1" thickBot="1" x14ac:dyDescent="0.35">
      <c r="B26" s="68"/>
      <c r="C26" s="196"/>
      <c r="D26" s="197"/>
      <c r="E26" s="179"/>
      <c r="F26" s="91" t="s">
        <v>96</v>
      </c>
      <c r="G26" s="92">
        <f>G24*G25</f>
        <v>267943.20000000007</v>
      </c>
      <c r="H26" s="92">
        <f t="shared" ref="H26:K26" si="1">H24*H25</f>
        <v>717801</v>
      </c>
      <c r="I26" s="92">
        <f t="shared" si="1"/>
        <v>259919.52000000002</v>
      </c>
      <c r="J26" s="92">
        <f t="shared" si="1"/>
        <v>389879.27999999997</v>
      </c>
      <c r="K26" s="92">
        <f t="shared" si="1"/>
        <v>649798.80000000005</v>
      </c>
      <c r="L26" s="76" t="s">
        <v>95</v>
      </c>
    </row>
    <row r="27" spans="2:12" s="1" customFormat="1" ht="39.6" customHeight="1" thickBot="1" x14ac:dyDescent="0.35">
      <c r="B27" s="71"/>
      <c r="C27" s="184" t="s">
        <v>90</v>
      </c>
      <c r="D27" s="185"/>
      <c r="E27" s="79" t="s">
        <v>84</v>
      </c>
      <c r="F27" s="97" t="s">
        <v>93</v>
      </c>
      <c r="G27" s="82">
        <f>187*2</f>
        <v>374</v>
      </c>
      <c r="H27" s="82">
        <f>179*2</f>
        <v>358</v>
      </c>
      <c r="I27" s="82">
        <f>(185*2)/2</f>
        <v>185</v>
      </c>
      <c r="J27" s="82">
        <f>(185*2)/2</f>
        <v>185</v>
      </c>
      <c r="K27" s="82">
        <f>I27+J27</f>
        <v>370</v>
      </c>
      <c r="L27" s="80" t="s">
        <v>91</v>
      </c>
    </row>
    <row r="28" spans="2:12" s="1" customFormat="1" ht="39.6" customHeight="1" thickBot="1" x14ac:dyDescent="0.35">
      <c r="B28" s="70"/>
      <c r="C28" s="184" t="s">
        <v>124</v>
      </c>
      <c r="D28" s="185"/>
      <c r="E28" s="79" t="s">
        <v>51</v>
      </c>
      <c r="F28" s="77" t="s">
        <v>122</v>
      </c>
      <c r="G28" s="100">
        <v>0.35</v>
      </c>
      <c r="H28" s="101">
        <v>1</v>
      </c>
      <c r="I28" s="101">
        <f>H28/2</f>
        <v>0.5</v>
      </c>
      <c r="J28" s="101">
        <f>H28/2</f>
        <v>0.5</v>
      </c>
      <c r="K28" s="101">
        <f>I28+J28</f>
        <v>1</v>
      </c>
      <c r="L28" s="78" t="s">
        <v>123</v>
      </c>
    </row>
    <row r="29" spans="2:12" s="1" customFormat="1" ht="42" customHeight="1" x14ac:dyDescent="0.3">
      <c r="B29" s="181" t="s">
        <v>68</v>
      </c>
      <c r="C29" s="181"/>
      <c r="D29" s="181"/>
      <c r="E29" s="181"/>
      <c r="F29" s="181"/>
      <c r="G29" s="181"/>
      <c r="H29" s="181"/>
      <c r="I29" s="181"/>
      <c r="J29" s="181"/>
      <c r="K29" s="181"/>
    </row>
    <row r="30" spans="2:12" s="4" customFormat="1" ht="24" customHeight="1" x14ac:dyDescent="0.3">
      <c r="B30" s="140" t="s">
        <v>105</v>
      </c>
      <c r="C30" s="140"/>
      <c r="D30" s="140"/>
      <c r="E30" s="140"/>
      <c r="F30" s="140"/>
      <c r="G30" s="140"/>
    </row>
    <row r="31" spans="2:12" ht="11.25" customHeight="1" x14ac:dyDescent="0.3"/>
    <row r="32" spans="2:12" ht="11.7" customHeight="1" x14ac:dyDescent="0.3"/>
    <row r="33" ht="0" hidden="1" customHeight="1" x14ac:dyDescent="0.3"/>
    <row r="34" ht="0" hidden="1" customHeight="1" x14ac:dyDescent="0.3"/>
  </sheetData>
  <mergeCells count="27">
    <mergeCell ref="B3:D3"/>
    <mergeCell ref="B6:C6"/>
    <mergeCell ref="B7:C7"/>
    <mergeCell ref="B5:K5"/>
    <mergeCell ref="D6:F6"/>
    <mergeCell ref="G6:I6"/>
    <mergeCell ref="D7:K7"/>
    <mergeCell ref="B8:C8"/>
    <mergeCell ref="B9:C9"/>
    <mergeCell ref="D8:F8"/>
    <mergeCell ref="D9:K10"/>
    <mergeCell ref="G8:I8"/>
    <mergeCell ref="B30:G30"/>
    <mergeCell ref="E13:E16"/>
    <mergeCell ref="B29:K29"/>
    <mergeCell ref="L11:L12"/>
    <mergeCell ref="C28:D28"/>
    <mergeCell ref="E11:E12"/>
    <mergeCell ref="I11:J11"/>
    <mergeCell ref="F11:F12"/>
    <mergeCell ref="C11:D12"/>
    <mergeCell ref="E19:E22"/>
    <mergeCell ref="E17:E18"/>
    <mergeCell ref="B11:B12"/>
    <mergeCell ref="C27:D27"/>
    <mergeCell ref="C13:D26"/>
    <mergeCell ref="E24:E26"/>
  </mergeCells>
  <pageMargins left="0.39370078740157483" right="0.19685039370078741" top="0.19685039370078741" bottom="0.19685039370078741" header="0.19685039370078741" footer="0.19685039370078741"/>
  <pageSetup paperSize="9" scale="98" fitToHeight="0" orientation="landscape"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selection activeCell="G3" sqref="G3"/>
    </sheetView>
  </sheetViews>
  <sheetFormatPr baseColWidth="10" defaultRowHeight="14.4" x14ac:dyDescent="0.3"/>
  <sheetData>
    <row r="1" spans="1:7" x14ac:dyDescent="0.3">
      <c r="B1" t="s">
        <v>78</v>
      </c>
      <c r="C1" t="s">
        <v>79</v>
      </c>
      <c r="D1" t="s">
        <v>77</v>
      </c>
      <c r="E1" t="s">
        <v>80</v>
      </c>
      <c r="F1" t="s">
        <v>81</v>
      </c>
      <c r="G1" t="s">
        <v>82</v>
      </c>
    </row>
    <row r="2" spans="1:7" x14ac:dyDescent="0.3">
      <c r="A2">
        <v>0</v>
      </c>
      <c r="B2">
        <v>12</v>
      </c>
      <c r="C2">
        <v>44.5</v>
      </c>
      <c r="D2">
        <f>+B2*C2</f>
        <v>534</v>
      </c>
      <c r="E2">
        <f>+B2*55.2</f>
        <v>662.40000000000009</v>
      </c>
      <c r="F2">
        <f>+E2*C2</f>
        <v>29476.800000000003</v>
      </c>
      <c r="G2">
        <f>+F2/1000</f>
        <v>29.476800000000004</v>
      </c>
    </row>
    <row r="3" spans="1:7" x14ac:dyDescent="0.3">
      <c r="A3">
        <v>1</v>
      </c>
      <c r="B3">
        <v>16</v>
      </c>
      <c r="C3">
        <v>44.5</v>
      </c>
      <c r="D3">
        <f t="shared" ref="D3:D5" si="0">+B3*C3</f>
        <v>712</v>
      </c>
      <c r="E3">
        <f t="shared" ref="E3:E5" si="1">+B3*55.2</f>
        <v>883.2</v>
      </c>
      <c r="F3">
        <f t="shared" ref="F3:F5" si="2">+E3*C3</f>
        <v>39302.400000000001</v>
      </c>
      <c r="G3">
        <f t="shared" ref="G3:G5" si="3">+F3/1000</f>
        <v>39.302399999999999</v>
      </c>
    </row>
    <row r="4" spans="1:7" x14ac:dyDescent="0.3">
      <c r="A4">
        <v>2</v>
      </c>
      <c r="B4">
        <v>20</v>
      </c>
      <c r="C4">
        <v>44.5</v>
      </c>
      <c r="D4">
        <f t="shared" si="0"/>
        <v>890</v>
      </c>
      <c r="E4">
        <f t="shared" si="1"/>
        <v>1104</v>
      </c>
      <c r="F4">
        <f t="shared" si="2"/>
        <v>49128</v>
      </c>
      <c r="G4">
        <f t="shared" si="3"/>
        <v>49.128</v>
      </c>
    </row>
    <row r="5" spans="1:7" x14ac:dyDescent="0.3">
      <c r="A5">
        <v>3</v>
      </c>
      <c r="B5">
        <v>24</v>
      </c>
      <c r="C5">
        <v>44.5</v>
      </c>
      <c r="D5">
        <f t="shared" si="0"/>
        <v>1068</v>
      </c>
      <c r="E5">
        <f t="shared" si="1"/>
        <v>1324.8000000000002</v>
      </c>
      <c r="F5">
        <f t="shared" si="2"/>
        <v>58953.600000000006</v>
      </c>
      <c r="G5">
        <f t="shared" si="3"/>
        <v>58.953600000000009</v>
      </c>
    </row>
    <row r="6" spans="1:7" x14ac:dyDescent="0.3">
      <c r="A6">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H31"/>
  <sheetViews>
    <sheetView workbookViewId="0">
      <selection activeCell="H31" sqref="H31"/>
    </sheetView>
  </sheetViews>
  <sheetFormatPr baseColWidth="10" defaultRowHeight="14.4" x14ac:dyDescent="0.3"/>
  <sheetData>
    <row r="31" spans="8:8" x14ac:dyDescent="0.3">
      <c r="H3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Caratula</vt:lpstr>
      <vt:lpstr>Formato 01</vt:lpstr>
      <vt:lpstr>Formato 02A</vt:lpstr>
      <vt:lpstr>Formato 02B</vt:lpstr>
      <vt:lpstr>Formato 03</vt:lpstr>
      <vt:lpstr>xxxxxxxxxx</vt:lpstr>
      <vt:lpstr>Hoja1</vt:lpstr>
      <vt:lpstr>Caratula!Área_de_impresión</vt:lpstr>
      <vt:lpstr>'Formato 01'!Área_de_impresión</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especialista de monitoreo 18</dc:creator>
  <cp:lastModifiedBy>HERBERT PHOCCO</cp:lastModifiedBy>
  <cp:lastPrinted>2025-07-21T15:57:49Z</cp:lastPrinted>
  <dcterms:created xsi:type="dcterms:W3CDTF">2017-05-09T15:51:39Z</dcterms:created>
  <dcterms:modified xsi:type="dcterms:W3CDTF">2026-02-18T21:13:18Z</dcterms:modified>
</cp:coreProperties>
</file>